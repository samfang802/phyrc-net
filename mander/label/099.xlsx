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3DFA3D6D-8A0D-4463-8AEE-1E52DAF5705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K/zP6uP2VbCneF+MxGyKKU/PsC08IeqlfrVbnHJv45U="/>
    </ext>
  </extLst>
</workbook>
</file>

<file path=xl/calcChain.xml><?xml version="1.0" encoding="utf-8"?>
<calcChain xmlns="http://schemas.openxmlformats.org/spreadsheetml/2006/main">
  <c r="D36" i="2" l="1"/>
  <c r="D35" i="2"/>
  <c r="E36" i="2" s="1"/>
  <c r="D32" i="2"/>
  <c r="D41" i="2" s="1"/>
  <c r="R6" i="2" s="1"/>
  <c r="F2" i="1" s="1"/>
  <c r="I24" i="2"/>
  <c r="M19" i="2"/>
  <c r="N19" i="2" s="1"/>
  <c r="M18" i="2"/>
  <c r="N18" i="2" s="1"/>
  <c r="M16" i="2"/>
  <c r="N16" i="2" s="1"/>
  <c r="M15" i="2"/>
  <c r="N15" i="2" s="1"/>
  <c r="D15" i="2"/>
  <c r="D18" i="2" s="1"/>
  <c r="M14" i="2"/>
  <c r="N14" i="2" s="1"/>
  <c r="D14" i="2"/>
  <c r="M13" i="2"/>
  <c r="N13" i="2" s="1"/>
  <c r="I8" i="2"/>
  <c r="J8" i="2" s="1"/>
  <c r="K8" i="2" s="1"/>
  <c r="I7" i="2"/>
  <c r="J7" i="2" s="1"/>
  <c r="K7" i="2" s="1"/>
  <c r="I6" i="2"/>
  <c r="J6" i="2" s="1"/>
  <c r="I5" i="2"/>
  <c r="J5" i="2" s="1"/>
  <c r="K5" i="2" s="1"/>
  <c r="K4" i="2"/>
  <c r="J4" i="2"/>
  <c r="I4" i="2"/>
  <c r="J3" i="2"/>
  <c r="D16" i="2" s="1"/>
  <c r="I3" i="2"/>
  <c r="M12" i="2" l="1"/>
  <c r="N12" i="2" s="1"/>
  <c r="K6" i="2"/>
  <c r="D25" i="2" s="1"/>
  <c r="M17" i="2"/>
  <c r="N17" i="2" s="1"/>
  <c r="K3" i="2"/>
  <c r="D17" i="2" s="1"/>
  <c r="D39" i="2"/>
  <c r="I30" i="2"/>
  <c r="I27" i="2" l="1"/>
  <c r="D27" i="2"/>
  <c r="D26" i="2"/>
  <c r="I29" i="2"/>
  <c r="I31" i="2" s="1"/>
  <c r="I28" i="2" l="1"/>
  <c r="I32" i="2" s="1"/>
  <c r="I33" i="2"/>
  <c r="I42" i="2"/>
  <c r="T3" i="2" s="1"/>
  <c r="D2" i="1" s="1"/>
  <c r="E33" i="2"/>
  <c r="D33" i="2"/>
  <c r="E34" i="2" l="1"/>
  <c r="D34" i="2"/>
  <c r="D37" i="2" s="1"/>
  <c r="D38" i="2" s="1"/>
  <c r="D40" i="2" s="1"/>
  <c r="Q6" i="2" s="1"/>
  <c r="E2" i="1" s="1"/>
  <c r="I34" i="2"/>
  <c r="I35" i="2"/>
  <c r="I36" i="2" s="1"/>
  <c r="I37" i="2" l="1"/>
  <c r="I38" i="2" s="1"/>
  <c r="I39" i="2" s="1"/>
  <c r="I40" i="2" l="1"/>
  <c r="R3" i="2" s="1"/>
  <c r="B2" i="1" s="1"/>
  <c r="Q3" i="2"/>
  <c r="A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<sst xmlns="http://schemas.openxmlformats.org/spreadsheetml/2006/main" count="109" uniqueCount="86">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</sst>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23</xdr:row>
      <xdr:rowOff>0</xdr:rowOff>
    </xdr:from>
    <xdr:ext cx="5915025" cy="6505575"/>
    <xdr:pic>
      <xdr:nvPicPr>
        <xdr:cNvPr id="27" name="image3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57</xdr:row>
      <xdr:rowOff>0</xdr:rowOff>
    </xdr:from>
    <xdr:ext cx="4781550" cy="2514600"/>
    <xdr:pic>
      <xdr:nvPicPr>
        <xdr:cNvPr id="28" name="image2.png" title="圖片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40.024238265643092</v>
      </c>
      <c r="B2" s="2">
        <f>Calculate!R3</f>
        <v>3.4682631133647829E-3</v>
      </c>
      <c r="C2" s="2">
        <f>Calculate!S3</f>
        <v>15.20545107141195</v>
      </c>
      <c r="D2" s="2">
        <f>Calculate!T3</f>
        <v>1.6025964647217276E-2</v>
      </c>
      <c r="E2" s="2">
        <f>Calculate!Q6</f>
        <v>227170.41541303156</v>
      </c>
      <c r="F2" s="2">
        <f>Calculate!R6</f>
        <v>653986392.11043608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37" workbookViewId="0">
      <selection activeCell="P19" sqref="P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21" t="s">
        <v>6</v>
      </c>
      <c r="C1" s="18"/>
      <c r="D1" s="18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9" t="s">
        <v>11</v>
      </c>
      <c r="C3" s="18"/>
      <c r="D3" s="18"/>
      <c r="E3" s="3"/>
      <c r="F3" s="3"/>
      <c r="G3" s="6" t="s">
        <v>12</v>
      </c>
      <c r="H3" s="7" t="s">
        <v>12</v>
      </c>
      <c r="I3" s="5">
        <f>6/25.4</f>
        <v>0.23622047244094491</v>
      </c>
      <c r="J3" s="5">
        <f>6</f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40.024238265643092</v>
      </c>
      <c r="R3" s="1">
        <f>I40</f>
        <v>3.4682631133647829E-3</v>
      </c>
      <c r="S3" s="1">
        <f>I43</f>
        <v>15.20545107141195</v>
      </c>
      <c r="T3" s="1">
        <f>I42</f>
        <v>1.6025964647217276E-2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7" t="s">
        <v>13</v>
      </c>
      <c r="C4" s="18"/>
      <c r="D4" s="8">
        <v>230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7" t="s">
        <v>16</v>
      </c>
      <c r="C5" s="18"/>
      <c r="D5" s="8">
        <v>410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7" t="s">
        <v>19</v>
      </c>
      <c r="C6" s="18"/>
      <c r="D6" s="8">
        <v>25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227170.41541303156</v>
      </c>
      <c r="R6" s="1">
        <f>D41</f>
        <v>653986392.11043608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7" t="s">
        <v>22</v>
      </c>
      <c r="C7" s="18"/>
      <c r="D7" s="8">
        <v>25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9" t="s">
        <v>27</v>
      </c>
      <c r="C9" s="18"/>
      <c r="D9" s="1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7" t="s">
        <v>28</v>
      </c>
      <c r="C10" s="20"/>
      <c r="D10" s="8">
        <v>89</v>
      </c>
      <c r="E10" s="3"/>
      <c r="F10" s="3"/>
      <c r="G10" s="17" t="s">
        <v>29</v>
      </c>
      <c r="H10" s="18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7" t="s">
        <v>32</v>
      </c>
      <c r="R10" s="18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7" t="s">
        <v>33</v>
      </c>
      <c r="C11" s="20"/>
      <c r="D11" s="8" t="s">
        <v>12</v>
      </c>
      <c r="E11" s="3"/>
      <c r="F11" s="3"/>
      <c r="G11" s="3"/>
      <c r="H11" s="3"/>
      <c r="I11" s="8">
        <v>4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7" t="s">
        <v>38</v>
      </c>
      <c r="C12" s="20"/>
      <c r="D12" s="8">
        <v>414</v>
      </c>
      <c r="E12" s="3"/>
      <c r="F12" s="3"/>
      <c r="G12" s="3"/>
      <c r="H12" s="3"/>
      <c r="I12" s="12"/>
      <c r="J12" s="12" t="s">
        <v>14</v>
      </c>
      <c r="K12" s="3"/>
      <c r="L12" s="13">
        <v>149</v>
      </c>
      <c r="M12" s="14">
        <f t="shared" ref="M12:M21" si="2">L12-VLOOKUP($D$22, $G$3:$K$8, 4, FALSE)</f>
        <v>129.94999999999999</v>
      </c>
      <c r="N12" s="3">
        <f t="shared" ref="N12:N21" si="3">M12^2</f>
        <v>16887.002499999999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7" t="s">
        <v>40</v>
      </c>
      <c r="C13" s="20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6">
        <v>82.25</v>
      </c>
      <c r="M13" s="14">
        <f t="shared" si="2"/>
        <v>63.2</v>
      </c>
      <c r="N13" s="3">
        <f t="shared" si="3"/>
        <v>3994.2400000000002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7" t="s">
        <v>42</v>
      </c>
      <c r="C14" s="18"/>
      <c r="D14" s="3">
        <f>D10-D13*VLOOKUP(D11,G3:K8,4,FALSE)</f>
        <v>83</v>
      </c>
      <c r="E14" s="3"/>
      <c r="F14" s="3"/>
      <c r="G14" s="3"/>
      <c r="H14" s="3"/>
      <c r="K14" s="3"/>
      <c r="L14" s="16">
        <v>164.6</v>
      </c>
      <c r="M14" s="14">
        <f t="shared" si="2"/>
        <v>145.55000000000001</v>
      </c>
      <c r="N14" s="3">
        <f t="shared" si="3"/>
        <v>21184.802500000002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7" t="s">
        <v>44</v>
      </c>
      <c r="C15" s="18"/>
      <c r="D15" s="15">
        <f>D4-2*D7-VLOOKUP(D11, G3:K8, 4,FALSE )</f>
        <v>174</v>
      </c>
      <c r="E15" s="3"/>
      <c r="F15" s="3"/>
      <c r="G15" s="17" t="s">
        <v>45</v>
      </c>
      <c r="H15" s="18"/>
      <c r="I15" s="3" t="s">
        <v>30</v>
      </c>
      <c r="J15" s="3" t="s">
        <v>31</v>
      </c>
      <c r="K15" s="3"/>
      <c r="L15" s="16">
        <v>82.25</v>
      </c>
      <c r="M15" s="14">
        <f t="shared" si="2"/>
        <v>63.2</v>
      </c>
      <c r="N15" s="3">
        <f t="shared" si="3"/>
        <v>3994.2400000000002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7" t="s">
        <v>47</v>
      </c>
      <c r="C16" s="18"/>
      <c r="D16" s="15">
        <f>D5-2*D6-VLOOKUP(D11, G3:K8, 4,FALSE )</f>
        <v>354</v>
      </c>
      <c r="E16" s="3"/>
      <c r="F16" s="3"/>
      <c r="G16" s="3"/>
      <c r="H16" s="3"/>
      <c r="I16" s="8">
        <v>2</v>
      </c>
      <c r="J16" s="8" t="s">
        <v>12</v>
      </c>
      <c r="K16" s="3"/>
      <c r="L16" s="16">
        <v>149</v>
      </c>
      <c r="M16" s="14">
        <f t="shared" si="2"/>
        <v>129.94999999999999</v>
      </c>
      <c r="N16" s="3">
        <f t="shared" si="3"/>
        <v>16887.002499999999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7" t="s">
        <v>48</v>
      </c>
      <c r="C17" s="18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16">
        <v>82.25</v>
      </c>
      <c r="M17" s="14">
        <f t="shared" si="2"/>
        <v>63.2</v>
      </c>
      <c r="N17" s="3">
        <f t="shared" si="3"/>
        <v>3994.2400000000002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7" t="s">
        <v>49</v>
      </c>
      <c r="C18" s="18"/>
      <c r="D18" s="3">
        <f>D15*D16</f>
        <v>61596</v>
      </c>
      <c r="E18" s="3"/>
      <c r="F18" s="3"/>
      <c r="G18" s="3"/>
      <c r="H18" s="3"/>
      <c r="I18" s="12"/>
      <c r="J18" s="12" t="s">
        <v>17</v>
      </c>
      <c r="K18" s="3"/>
      <c r="L18" s="16">
        <v>164.6</v>
      </c>
      <c r="M18" s="14">
        <f t="shared" si="2"/>
        <v>145.55000000000001</v>
      </c>
      <c r="N18" s="3">
        <f t="shared" si="3"/>
        <v>21184.802500000002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6">
        <v>82.25</v>
      </c>
      <c r="M19" s="14">
        <f t="shared" si="2"/>
        <v>63.2</v>
      </c>
      <c r="N19" s="3">
        <f t="shared" si="3"/>
        <v>3994.2400000000002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9" t="s">
        <v>50</v>
      </c>
      <c r="H20" s="18"/>
      <c r="I20" s="18"/>
      <c r="J20" s="3"/>
      <c r="K20" s="3"/>
      <c r="L20" s="16"/>
      <c r="M20" s="1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9" t="s">
        <v>51</v>
      </c>
      <c r="C21" s="18"/>
      <c r="D21" s="18"/>
      <c r="E21" s="3"/>
      <c r="F21" s="3"/>
      <c r="G21" s="17" t="s">
        <v>52</v>
      </c>
      <c r="H21" s="18"/>
      <c r="I21" s="8">
        <v>34.9</v>
      </c>
      <c r="J21" s="3"/>
      <c r="K21" s="3"/>
      <c r="L21" s="16"/>
      <c r="M21" s="1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7" t="s">
        <v>53</v>
      </c>
      <c r="C22" s="20"/>
      <c r="D22" s="8" t="s">
        <v>20</v>
      </c>
      <c r="E22" s="3"/>
      <c r="F22" s="3"/>
      <c r="G22" s="17" t="s">
        <v>54</v>
      </c>
      <c r="H22" s="18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7" t="s">
        <v>55</v>
      </c>
      <c r="C23" s="18"/>
      <c r="D23" s="8">
        <v>10</v>
      </c>
      <c r="E23" s="3"/>
      <c r="F23" s="3"/>
      <c r="G23" s="17" t="s">
        <v>56</v>
      </c>
      <c r="H23" s="18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7" t="s">
        <v>57</v>
      </c>
      <c r="C24" s="20"/>
      <c r="D24" s="8">
        <v>441</v>
      </c>
      <c r="E24" s="3"/>
      <c r="F24" s="3"/>
      <c r="G24" s="17" t="s">
        <v>58</v>
      </c>
      <c r="H24" s="18"/>
      <c r="I24" s="3">
        <f>15000*SQRT(I21*100/9.8)*0.8*9.8/100</f>
        <v>22192.53928688648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7" t="s">
        <v>59</v>
      </c>
      <c r="C25" s="18"/>
      <c r="D25" s="3">
        <f>D23*VLOOKUP(D22, G3:K8, 5,FALSE  )</f>
        <v>2850.2295699234242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7" t="s">
        <v>60</v>
      </c>
      <c r="C26" s="18"/>
      <c r="D26" s="3">
        <f>D25/D18</f>
        <v>4.62729652887107E-2</v>
      </c>
      <c r="E26" s="3"/>
      <c r="F26" s="3"/>
      <c r="G26" s="19" t="s">
        <v>61</v>
      </c>
      <c r="H26" s="18"/>
      <c r="I26" s="18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7" t="s">
        <v>62</v>
      </c>
      <c r="C27" s="18"/>
      <c r="D27" s="3">
        <f>D25/D4/D5</f>
        <v>3.0225127994946172E-2</v>
      </c>
      <c r="E27" s="3"/>
      <c r="F27" s="3"/>
      <c r="G27" s="17" t="s">
        <v>63</v>
      </c>
      <c r="H27" s="18"/>
      <c r="I27" s="3">
        <f>(D18-SUM(N:N)/6)*(1-D14/2/D16)*(1-D14/2/D15)</f>
        <v>31085.321824029423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7" t="s">
        <v>64</v>
      </c>
      <c r="H28" s="18"/>
      <c r="I28" s="3">
        <f>I27/(1-D26)/D18</f>
        <v>0.52914995575774093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7" t="s">
        <v>65</v>
      </c>
      <c r="H29" s="18"/>
      <c r="I29" s="3">
        <f>(I11*VLOOKUP(J11, G3:K8, 5, FALSE) + I12*VLOOKUP(J12, G3:K8, 5, FALSE) + I13*VLOOKUP(J13, G3:K8, 5, FALSE))/D16/D10</f>
        <v>3.5897078502263868E-3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7" t="s">
        <v>67</v>
      </c>
      <c r="H30" s="18"/>
      <c r="I30" s="3">
        <f>(I16*VLOOKUP(J16, G3:K8, 5, FALSE) + I17*VLOOKUP(J17, G3:K8, 5, FALSE)+ I18*VLOOKUP(J18, G3:K8, 5, FALSE))/D15/D10</f>
        <v>3.6515993648854632E-3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9" t="s">
        <v>68</v>
      </c>
      <c r="C31" s="18"/>
      <c r="D31" s="18"/>
      <c r="E31" s="3"/>
      <c r="F31" s="3"/>
      <c r="G31" s="17" t="s">
        <v>69</v>
      </c>
      <c r="H31" s="18"/>
      <c r="I31" s="3">
        <f>I29+I30</f>
        <v>7.24130721511185E-3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7" t="s">
        <v>70</v>
      </c>
      <c r="C32" s="18"/>
      <c r="D32" s="3">
        <f>I24/(2*(1+C30))</f>
        <v>9246.8913695360334</v>
      </c>
      <c r="E32" s="3"/>
      <c r="F32" s="3"/>
      <c r="G32" s="17" t="s">
        <v>71</v>
      </c>
      <c r="H32" s="18"/>
      <c r="I32" s="3">
        <f>I28*I29*$D$12</f>
        <v>0.7863904125540303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7" t="s">
        <v>72</v>
      </c>
      <c r="C33" s="18"/>
      <c r="D33" s="3">
        <f>IF(I31*D12&gt;2.42, 2.42, I31*D12)</f>
        <v>2.42</v>
      </c>
      <c r="E33" s="3">
        <f>D12*I31</f>
        <v>2.9979011870563057</v>
      </c>
      <c r="F33" s="3"/>
      <c r="G33" s="17" t="s">
        <v>73</v>
      </c>
      <c r="H33" s="18"/>
      <c r="I33" s="3">
        <f>I28*I30*D12</f>
        <v>0.79994886794289299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7" t="s">
        <v>74</v>
      </c>
      <c r="C34" s="18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7" t="s">
        <v>75</v>
      </c>
      <c r="H34" s="18"/>
      <c r="I34" s="3">
        <f>(I32+I33)/2/I21</f>
        <v>2.27269237893542E-2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7" t="s">
        <v>76</v>
      </c>
      <c r="C35" s="18"/>
      <c r="D35" s="3">
        <f>0.0867*(D4*D5)*I21/13.8/(D4*D5)</f>
        <v>0.21926304347826084</v>
      </c>
      <c r="E35" s="3"/>
      <c r="F35" s="3"/>
      <c r="G35" s="17" t="s">
        <v>77</v>
      </c>
      <c r="H35" s="18"/>
      <c r="I35" s="3">
        <f>MIN(I32, I33)/MAX(I32, I33)</f>
        <v>0.98305084745762705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7" t="s">
        <v>78</v>
      </c>
      <c r="C36" s="18"/>
      <c r="D36" s="3">
        <f>IF(1+D35&gt;1.5, 1.5, 1+D35)</f>
        <v>1.2192630434782608</v>
      </c>
      <c r="E36" s="3">
        <f>1+D35</f>
        <v>1.2192630434782608</v>
      </c>
      <c r="F36" s="3"/>
      <c r="G36" s="17" t="s">
        <v>79</v>
      </c>
      <c r="H36" s="18"/>
      <c r="I36" s="3">
        <f>6.8886-(0.6069+17.275*I35)*EXP(1)^(-4.989*I35)</f>
        <v>6.7582016252625596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7" t="s">
        <v>80</v>
      </c>
      <c r="C37" s="18"/>
      <c r="D37" s="3">
        <f>IF(D34*D36*SQRT(I21)&gt;0.33*SQRT(I21), 0.33*SQRT(I21), D34*D36*SQRT(I21))</f>
        <v>1.7978551761614279</v>
      </c>
      <c r="E37" s="3"/>
      <c r="F37" s="3"/>
      <c r="G37" s="17" t="s">
        <v>81</v>
      </c>
      <c r="H37" s="18"/>
      <c r="I37" s="3">
        <f>4.5/(5/I36*(0.9849-0.6306*EXP(1)^(-3.989*I35))-0.1)-5</f>
        <v>2.2647869187063456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7" t="s">
        <v>82</v>
      </c>
      <c r="C38" s="18"/>
      <c r="D38" s="3">
        <f>0.8*D4*D5*D37</f>
        <v>135630.19448961812</v>
      </c>
      <c r="E38" s="3"/>
      <c r="F38" s="3"/>
      <c r="G38" s="17" t="s">
        <v>83</v>
      </c>
      <c r="H38" s="18"/>
      <c r="I38" s="3">
        <f>1+I36*I34*(0.1+0.9/(1+I37*I34))</f>
        <v>1.1468263113364783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7" t="s">
        <v>84</v>
      </c>
      <c r="C39" s="18"/>
      <c r="D39" s="3">
        <f>(I11*VLOOKUP(J11, G3:K8, 5, FALSE) + I12*VLOOKUP(J12, G3:K8, 5, FALSE) + I13*VLOOKUP(J13, G3:K8, 5, FALSE))*D12*D15/D10</f>
        <v>91540.220923413435</v>
      </c>
      <c r="E39" s="3"/>
      <c r="F39" s="3"/>
      <c r="G39" s="17" t="s">
        <v>0</v>
      </c>
      <c r="H39" s="18"/>
      <c r="I39" s="3">
        <f>I21*I38</f>
        <v>40.024238265643092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7" t="s">
        <v>4</v>
      </c>
      <c r="C40" s="18"/>
      <c r="D40" s="3">
        <f>D38+D39</f>
        <v>227170.41541303156</v>
      </c>
      <c r="E40" s="3"/>
      <c r="F40" s="3"/>
      <c r="G40" s="17" t="s">
        <v>1</v>
      </c>
      <c r="H40" s="18"/>
      <c r="I40" s="3">
        <f>I22*(1+5*(I39/I21-1))</f>
        <v>3.4682631133647829E-3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7" t="s">
        <v>5</v>
      </c>
      <c r="C41" s="18"/>
      <c r="D41" s="3">
        <f>3/4*D32*D4*D5</f>
        <v>653986392.11043608</v>
      </c>
      <c r="E41" s="3"/>
      <c r="F41" s="3"/>
      <c r="G41" s="17" t="s">
        <v>85</v>
      </c>
      <c r="H41" s="18"/>
      <c r="I41" s="3">
        <f>I24/(I24-I39/I40)</f>
        <v>2.0833369567802587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7" t="s">
        <v>3</v>
      </c>
      <c r="H42" s="18"/>
      <c r="I42" s="3">
        <f>0.004+0.14*D12/I21*I31</f>
        <v>1.6025964647217276E-2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7" t="s">
        <v>2</v>
      </c>
      <c r="H43" s="18"/>
      <c r="I43" s="3">
        <f>I39*I42/I40*I41/(I41-1+POWER(I42/I40, I41))</f>
        <v>15.20545107141195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2024-05-16T11:27:13Z</dcterms:modified>
</cp:coreProperties>
</file>