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Q/5y5qY2txSPeQaKDsHC2mL61bfqyFlZ1meAiMoBgDI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<sst xmlns="http://schemas.openxmlformats.org/spreadsheetml/2006/main" count="109" uniqueCount="87">
  <si>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</si>
  <si>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</si>
  <si>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</si>
  <si>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</si>
  <si>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</si>
  <si>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</si>
  <si>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</si>
  <si>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</si>
  <si>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</si>
  <si>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</si>
  <si>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</si>
  <si>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</si>
  <si>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#2</t>
  </si>
  <si>
    <t>D6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</si>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</sst>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21</xdr:row>
      <xdr:rowOff>0</xdr:rowOff>
    </xdr:from>
    <xdr:ext cx="5619750" cy="6362700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35.17839075</v>
      </c>
      <c r="B2" s="2">
        <f>Calculate!R3</f>
        <v>0.002137864769</v>
      </c>
      <c r="C2" s="2">
        <f>Calculate!S3</f>
        <v>0.4064043698</v>
      </c>
      <c r="D2" s="2">
        <f>Calculate!T3</f>
        <v>0.01590891178</v>
      </c>
      <c r="E2" s="2">
        <f>Calculate!Q6</f>
        <v>110131.1252</v>
      </c>
      <c r="F2" s="2">
        <f>Calculate!R6</f>
        <v>320591844.6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13</v>
      </c>
      <c r="I3" s="6">
        <f>2/8</f>
        <v>0.25</v>
      </c>
      <c r="J3" s="6">
        <f t="shared" ref="J3:J8" si="1">I3*25.4</f>
        <v>6.35</v>
      </c>
      <c r="K3" s="1">
        <f t="shared" ref="K3:K8" si="2">PI()*J3^2/4</f>
        <v>31.66921744</v>
      </c>
      <c r="L3" s="3"/>
      <c r="M3" s="3"/>
      <c r="N3" s="3"/>
      <c r="O3" s="3"/>
      <c r="P3" s="3"/>
      <c r="Q3" s="1">
        <f>I39</f>
        <v>35.17839075</v>
      </c>
      <c r="R3" s="1">
        <f>I40</f>
        <v>0.002137864769</v>
      </c>
      <c r="S3" s="1">
        <f>I43</f>
        <v>0.4064043698</v>
      </c>
      <c r="T3" s="1">
        <f>I42</f>
        <v>0.01590891178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10">
        <v>305.0</v>
      </c>
      <c r="E4" s="3"/>
      <c r="F4" s="3"/>
      <c r="G4" s="11" t="s">
        <v>15</v>
      </c>
      <c r="H4" s="6" t="s">
        <v>16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10">
        <v>152.0</v>
      </c>
      <c r="E5" s="3"/>
      <c r="F5" s="3"/>
      <c r="G5" s="11" t="s">
        <v>18</v>
      </c>
      <c r="H5" s="6" t="s">
        <v>19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10">
        <v>35.0</v>
      </c>
      <c r="E6" s="3"/>
      <c r="F6" s="3"/>
      <c r="G6" s="11" t="s">
        <v>21</v>
      </c>
      <c r="H6" s="6" t="s">
        <v>22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110131.1252</v>
      </c>
      <c r="R6" s="1">
        <f>D41</f>
        <v>320591844.6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10">
        <v>22.3</v>
      </c>
      <c r="E7" s="3"/>
      <c r="F7" s="3"/>
      <c r="G7" s="11" t="s">
        <v>24</v>
      </c>
      <c r="H7" s="6" t="s">
        <v>25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26</v>
      </c>
      <c r="H8" s="6" t="s">
        <v>27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4"/>
      <c r="D10" s="10">
        <v>127.0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4"/>
      <c r="D11" s="10" t="s">
        <v>12</v>
      </c>
      <c r="E11" s="3"/>
      <c r="F11" s="3"/>
      <c r="G11" s="3"/>
      <c r="H11" s="3"/>
      <c r="I11" s="10">
        <v>2.0</v>
      </c>
      <c r="J11" s="10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4"/>
      <c r="D12" s="10">
        <v>345.0</v>
      </c>
      <c r="E12" s="3"/>
      <c r="F12" s="3"/>
      <c r="G12" s="3"/>
      <c r="H12" s="3"/>
      <c r="I12" s="15"/>
      <c r="J12" s="15" t="s">
        <v>15</v>
      </c>
      <c r="K12" s="3"/>
      <c r="L12" s="15">
        <f>3*25.4</f>
        <v>76.2</v>
      </c>
      <c r="M12" s="16">
        <f t="shared" ref="M12:M15" si="3">L12-VLOOKUP($D$22, $G$3:$K$8, 4, FALSE)</f>
        <v>57.15</v>
      </c>
      <c r="N12" s="3">
        <f t="shared" ref="N12:N15" si="4">M12^2</f>
        <v>3266.1225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4"/>
      <c r="D13" s="10">
        <v>1.0</v>
      </c>
      <c r="E13" s="3"/>
      <c r="F13" s="3"/>
      <c r="G13" s="3"/>
      <c r="H13" s="3"/>
      <c r="I13" s="15"/>
      <c r="J13" s="15" t="s">
        <v>18</v>
      </c>
      <c r="K13" s="3"/>
      <c r="L13" s="15">
        <f>8*25.4</f>
        <v>203.2</v>
      </c>
      <c r="M13" s="16">
        <f t="shared" si="3"/>
        <v>184.15</v>
      </c>
      <c r="N13" s="3">
        <f t="shared" si="4"/>
        <v>33911.2225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120.65</v>
      </c>
      <c r="E14" s="3"/>
      <c r="F14" s="3"/>
      <c r="G14" s="3"/>
      <c r="H14" s="3"/>
      <c r="K14" s="3"/>
      <c r="L14" s="15">
        <f>3*25.4</f>
        <v>76.2</v>
      </c>
      <c r="M14" s="16">
        <f t="shared" si="3"/>
        <v>57.15</v>
      </c>
      <c r="N14" s="3">
        <f t="shared" si="4"/>
        <v>3266.1225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7">
        <f>D4-2*D7-VLOOKUP(D11, G3:K8, 4,FALSE )</f>
        <v>254.05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15">
        <f>8*25.4</f>
        <v>203.2</v>
      </c>
      <c r="M15" s="16">
        <f t="shared" si="3"/>
        <v>184.15</v>
      </c>
      <c r="N15" s="3">
        <f t="shared" si="4"/>
        <v>33911.2225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7">
        <f>D5-2*D6-VLOOKUP(D11, G3:K8, 4,FALSE )</f>
        <v>75.65</v>
      </c>
      <c r="E16" s="3"/>
      <c r="F16" s="3"/>
      <c r="G16" s="3"/>
      <c r="H16" s="3"/>
      <c r="I16" s="10">
        <v>2.0</v>
      </c>
      <c r="J16" s="10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31.66921744</v>
      </c>
      <c r="E17" s="3"/>
      <c r="F17" s="3"/>
      <c r="G17" s="3"/>
      <c r="H17" s="3"/>
      <c r="I17" s="15"/>
      <c r="J17" s="15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19218.8825</v>
      </c>
      <c r="E18" s="3"/>
      <c r="F18" s="3"/>
      <c r="G18" s="3"/>
      <c r="H18" s="3"/>
      <c r="I18" s="15"/>
      <c r="J18" s="15" t="s">
        <v>18</v>
      </c>
      <c r="K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10">
        <v>34.7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4"/>
      <c r="D22" s="10" t="s">
        <v>21</v>
      </c>
      <c r="E22" s="3"/>
      <c r="F22" s="3"/>
      <c r="G22" s="3" t="s">
        <v>55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10">
        <v>4.0</v>
      </c>
      <c r="E23" s="3"/>
      <c r="F23" s="3"/>
      <c r="G23" s="3" t="s">
        <v>57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4"/>
      <c r="D24" s="10">
        <v>496.0</v>
      </c>
      <c r="E24" s="3"/>
      <c r="F24" s="3"/>
      <c r="G24" s="3" t="s">
        <v>59</v>
      </c>
      <c r="I24" s="3">
        <f>15000*SQRT(I21*100/9.8)*0.8*9.8/100</f>
        <v>22128.85899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1140.091828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0.05932144223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0.02459214469</v>
      </c>
      <c r="E27" s="3"/>
      <c r="F27" s="3"/>
      <c r="G27" s="3" t="s">
        <v>64</v>
      </c>
      <c r="I27" s="3">
        <f>(D18-SUM(N:N)/6)*(1-D14/2/D16)*(1-D14/2/D15)</f>
        <v>1054.512974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0.05832873411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0.006592568853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0.00196310897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0.008555677823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9220.357911</v>
      </c>
      <c r="E32" s="3"/>
      <c r="F32" s="3"/>
      <c r="G32" s="3" t="s">
        <v>72</v>
      </c>
      <c r="I32" s="3">
        <f>I28*I29*$D$12</f>
        <v>0.1326649875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2.951708849</v>
      </c>
      <c r="F33" s="3"/>
      <c r="G33" s="3" t="s">
        <v>74</v>
      </c>
      <c r="I33" s="3">
        <f>I28*I30*D12</f>
        <v>0.03950445309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0.002480827675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0.2180065217</v>
      </c>
      <c r="E35" s="3"/>
      <c r="F35" s="3"/>
      <c r="G35" s="3" t="s">
        <v>78</v>
      </c>
      <c r="I35" s="3">
        <f>MIN(I32, I33)/MAX(I32, I33)</f>
        <v>0.2977760283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1.218006522</v>
      </c>
      <c r="E36" s="3">
        <f>1+D35</f>
        <v>1.218006522</v>
      </c>
      <c r="F36" s="3"/>
      <c r="G36" s="3" t="s">
        <v>80</v>
      </c>
      <c r="I36" s="3">
        <f>6.8886-(0.6069+17.275*I35)*EXP(1)^(-4.989*I35)</f>
        <v>5.586776695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1.790848849</v>
      </c>
      <c r="E37" s="3"/>
      <c r="F37" s="3"/>
      <c r="G37" s="3" t="s">
        <v>82</v>
      </c>
      <c r="I37" s="3">
        <f>4.5/(5/I36*(0.9849-0.6306*EXP(1)^(-3.989*I35))-0.1)-5</f>
        <v>2.384429879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66419.00211</v>
      </c>
      <c r="E38" s="3"/>
      <c r="F38" s="3"/>
      <c r="G38" s="3" t="s">
        <v>84</v>
      </c>
      <c r="I38" s="3">
        <f>1+I36*I34*(0.1+0.9/(1+I37*I34))</f>
        <v>1.013786477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43712.12313</v>
      </c>
      <c r="E39" s="3"/>
      <c r="F39" s="3"/>
      <c r="G39" s="3" t="s">
        <v>0</v>
      </c>
      <c r="I39" s="3">
        <f>I21*I38</f>
        <v>35.17839075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110131.1252</v>
      </c>
      <c r="E40" s="3"/>
      <c r="F40" s="3"/>
      <c r="G40" s="3" t="s">
        <v>1</v>
      </c>
      <c r="I40" s="3">
        <f>I22*(1+5*(I39/I21-1))</f>
        <v>0.002137864769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320591844.6</v>
      </c>
      <c r="E41" s="3"/>
      <c r="F41" s="3"/>
      <c r="G41" s="3" t="s">
        <v>86</v>
      </c>
      <c r="I41" s="3">
        <f>I24/(I24-I39/I40)</f>
        <v>3.900086622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0.01590891178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0.4064043698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