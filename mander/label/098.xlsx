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AC2A1EB7-CB71-4E2E-887D-E8BD534B02FD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6B84NyvzRw9BHm38ItXxOJ0npf8SENXpEy2NasuOVQ="/>
    </ext>
  </extLst>
</workbook>
</file>

<file path=xl/calcChain.xml><?xml version="1.0" encoding="utf-8"?>
<calcChain xmlns="http://schemas.openxmlformats.org/spreadsheetml/2006/main">
  <c r="M16" i="2" l="1"/>
  <c r="N16" i="2" s="1"/>
  <c r="M17" i="2"/>
  <c r="N17" i="2" s="1"/>
  <c r="M18" i="2"/>
  <c r="N18" i="2" s="1"/>
  <c r="M19" i="2"/>
  <c r="N19" i="2" s="1"/>
  <c r="L19" i="2"/>
  <c r="L17" i="2"/>
  <c r="E36" i="2"/>
  <c r="D36" i="2"/>
  <c r="D35" i="2"/>
  <c r="D32" i="2"/>
  <c r="D41" i="2" s="1"/>
  <c r="R6" i="2" s="1"/>
  <c r="F2" i="1" s="1"/>
  <c r="I24" i="2"/>
  <c r="L15" i="2"/>
  <c r="M15" i="2" s="1"/>
  <c r="N15" i="2" s="1"/>
  <c r="D15" i="2"/>
  <c r="D39" i="2" s="1"/>
  <c r="M14" i="2"/>
  <c r="N14" i="2" s="1"/>
  <c r="D14" i="2"/>
  <c r="L13" i="2"/>
  <c r="I8" i="2"/>
  <c r="J8" i="2" s="1"/>
  <c r="K8" i="2" s="1"/>
  <c r="I7" i="2"/>
  <c r="J7" i="2" s="1"/>
  <c r="K7" i="2" s="1"/>
  <c r="I6" i="2"/>
  <c r="J6" i="2" s="1"/>
  <c r="K5" i="2"/>
  <c r="J5" i="2"/>
  <c r="I5" i="2"/>
  <c r="I4" i="2"/>
  <c r="J4" i="2" s="1"/>
  <c r="K4" i="2" s="1"/>
  <c r="J3" i="2"/>
  <c r="K3" i="2" s="1"/>
  <c r="D17" i="2" s="1"/>
  <c r="I3" i="2"/>
  <c r="M12" i="2" l="1"/>
  <c r="N12" i="2" s="1"/>
  <c r="K6" i="2"/>
  <c r="D25" i="2" s="1"/>
  <c r="M13" i="2"/>
  <c r="N13" i="2" s="1"/>
  <c r="I30" i="2"/>
  <c r="D16" i="2"/>
  <c r="D27" i="2" l="1"/>
  <c r="D18" i="2"/>
  <c r="I27" i="2" s="1"/>
  <c r="I29" i="2"/>
  <c r="I31" i="2" s="1"/>
  <c r="E33" i="2" l="1"/>
  <c r="I42" i="2"/>
  <c r="T3" i="2" s="1"/>
  <c r="D2" i="1" s="1"/>
  <c r="D33" i="2"/>
  <c r="D26" i="2"/>
  <c r="I28" i="2" s="1"/>
  <c r="I33" i="2" l="1"/>
  <c r="I32" i="2"/>
  <c r="E34" i="2"/>
  <c r="D34" i="2"/>
  <c r="D37" i="2" s="1"/>
  <c r="D38" i="2" s="1"/>
  <c r="D40" i="2" s="1"/>
  <c r="Q6" i="2" s="1"/>
  <c r="E2" i="1" s="1"/>
  <c r="I34" i="2" l="1"/>
  <c r="I35" i="2"/>
  <c r="I36" i="2" s="1"/>
  <c r="I37" i="2" l="1"/>
  <c r="I38" i="2" s="1"/>
  <c r="I39" i="2" s="1"/>
  <c r="I40" i="2" l="1"/>
  <c r="R3" i="2" s="1"/>
  <c r="B2" i="1" s="1"/>
  <c r="Q3" i="2"/>
  <c r="A2" i="1" s="1"/>
  <c r="I41" i="2" l="1"/>
  <c r="I43" i="2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<sst xmlns="http://schemas.openxmlformats.org/spreadsheetml/2006/main" count="109" uniqueCount="86">
  <si>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</si>
  <si>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</si>
  <si>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</si>
  <si>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</si>
  <si>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</si>
  <si>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</si>
  <si>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</si>
  <si>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</si>
  <si>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</si>
  <si>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</si>
  <si>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</si>
  <si>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</si>
  <si>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6mm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</si>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</sst>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361950</xdr:colOff>
      <xdr:row>22</xdr:row>
      <xdr:rowOff>-95250</xdr:rowOff>
    </xdr:from>
    <xdr:ext cx="6210300" cy="6924675"/>
    <xdr:pic>
      <xdr:nvPicPr>
        <xdr:cNvPr id="27" name="image3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57</xdr:row>
      <xdr:rowOff>0</xdr:rowOff>
    </xdr:from>
    <xdr:ext cx="5019675" cy="2524125"/>
    <xdr:pic>
      <xdr:nvPicPr>
        <xdr:cNvPr id="28" name="image2.png" title="圖片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40.024238265643092</v>
      </c>
      <c r="B2" s="2">
        <f>Calculate!R3</f>
        <v>3.4682631133647829E-3</v>
      </c>
      <c r="C2" s="2">
        <f>Calculate!S3</f>
        <v>15.20545107141195</v>
      </c>
      <c r="D2" s="2">
        <f>Calculate!T3</f>
        <v>1.6025964647217276E-2</v>
      </c>
      <c r="E2" s="2">
        <f>Calculate!Q6</f>
        <v>228748.69508412489</v>
      </c>
      <c r="F2" s="2">
        <f>Calculate!R6</f>
        <v>653986392.11043608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topLeftCell="A28" workbookViewId="0">
      <selection activeCell="P15" sqref="P15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7" t="s">
        <v>12</v>
      </c>
      <c r="I3" s="5">
        <f>6/25.4</f>
        <v>0.23622047244094491</v>
      </c>
      <c r="J3" s="5">
        <f>6</f>
        <v>6</v>
      </c>
      <c r="K3" s="1">
        <f t="shared" ref="K3:K8" si="0">PI()*J3^2/4</f>
        <v>28.274333882308138</v>
      </c>
      <c r="L3" s="3"/>
      <c r="M3" s="3"/>
      <c r="N3" s="3"/>
      <c r="O3" s="3"/>
      <c r="P3" s="3"/>
      <c r="Q3" s="1">
        <f>I39</f>
        <v>40.024238265643092</v>
      </c>
      <c r="R3" s="1">
        <f>I40</f>
        <v>3.4682631133647829E-3</v>
      </c>
      <c r="S3" s="1">
        <f>I43</f>
        <v>15.20545107141195</v>
      </c>
      <c r="T3" s="1">
        <f>I42</f>
        <v>1.6025964647217276E-2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13</v>
      </c>
      <c r="C4" s="16"/>
      <c r="D4" s="8">
        <v>410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ref="J4:J8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8">
        <v>230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8">
        <v>25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228748.69508412489</v>
      </c>
      <c r="R6" s="1">
        <f>D41</f>
        <v>653986392.11043608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8">
        <v>25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8">
        <v>89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8">
        <v>414</v>
      </c>
      <c r="E12" s="3"/>
      <c r="F12" s="3"/>
      <c r="G12" s="3"/>
      <c r="H12" s="3"/>
      <c r="I12" s="12"/>
      <c r="J12" s="12" t="s">
        <v>14</v>
      </c>
      <c r="K12" s="3"/>
      <c r="L12" s="8">
        <v>149</v>
      </c>
      <c r="M12" s="13">
        <f t="shared" ref="M12:M21" si="2">L12-VLOOKUP($D$22, $G$3:$K$8, 4, FALSE)</f>
        <v>129.94999999999999</v>
      </c>
      <c r="N12" s="3">
        <f t="shared" ref="N12:N21" si="3">M12^2</f>
        <v>16887.002499999999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12">
        <f t="shared" ref="L13:L19" si="4">329/4</f>
        <v>82.25</v>
      </c>
      <c r="M13" s="13">
        <f t="shared" si="2"/>
        <v>63.2</v>
      </c>
      <c r="N13" s="3">
        <f t="shared" si="3"/>
        <v>3994.2400000000002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83</v>
      </c>
      <c r="E14" s="3"/>
      <c r="F14" s="3"/>
      <c r="G14" s="3"/>
      <c r="H14" s="3"/>
      <c r="K14" s="3"/>
      <c r="L14" s="12">
        <v>164.6</v>
      </c>
      <c r="M14" s="13">
        <f t="shared" si="2"/>
        <v>145.55000000000001</v>
      </c>
      <c r="N14" s="3">
        <f t="shared" si="3"/>
        <v>21184.802500000002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354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12">
        <f t="shared" si="4"/>
        <v>82.25</v>
      </c>
      <c r="M15" s="13">
        <f t="shared" si="2"/>
        <v>63.2</v>
      </c>
      <c r="N15" s="3">
        <f t="shared" si="3"/>
        <v>3994.2400000000002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174</v>
      </c>
      <c r="E16" s="3"/>
      <c r="F16" s="3"/>
      <c r="G16" s="3"/>
      <c r="H16" s="3"/>
      <c r="I16" s="8">
        <v>4</v>
      </c>
      <c r="J16" s="8" t="s">
        <v>12</v>
      </c>
      <c r="K16" s="3"/>
      <c r="L16" s="12">
        <v>149</v>
      </c>
      <c r="M16" s="13">
        <f t="shared" ref="M16:M19" si="5">L16-VLOOKUP($D$22, $G$3:$K$8, 4, FALSE)</f>
        <v>129.94999999999999</v>
      </c>
      <c r="N16" s="3">
        <f t="shared" ref="N16:N19" si="6">M16^2</f>
        <v>16887.002499999999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28.274333882308138</v>
      </c>
      <c r="E17" s="3"/>
      <c r="F17" s="3"/>
      <c r="G17" s="3"/>
      <c r="H17" s="3"/>
      <c r="I17" s="12"/>
      <c r="J17" s="12" t="s">
        <v>14</v>
      </c>
      <c r="K17" s="3"/>
      <c r="L17" s="12">
        <f t="shared" si="4"/>
        <v>82.25</v>
      </c>
      <c r="M17" s="13">
        <f t="shared" si="5"/>
        <v>63.2</v>
      </c>
      <c r="N17" s="3">
        <f t="shared" si="6"/>
        <v>3994.2400000000002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61596</v>
      </c>
      <c r="E18" s="3"/>
      <c r="F18" s="3"/>
      <c r="G18" s="3"/>
      <c r="H18" s="3"/>
      <c r="I18" s="12"/>
      <c r="J18" s="12" t="s">
        <v>17</v>
      </c>
      <c r="K18" s="3"/>
      <c r="L18" s="12">
        <v>164.6</v>
      </c>
      <c r="M18" s="13">
        <f t="shared" si="5"/>
        <v>145.55000000000001</v>
      </c>
      <c r="N18" s="3">
        <f t="shared" si="6"/>
        <v>21184.802500000002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2">
        <f t="shared" si="4"/>
        <v>82.25</v>
      </c>
      <c r="M19" s="13">
        <f t="shared" si="5"/>
        <v>63.2</v>
      </c>
      <c r="N19" s="3">
        <f t="shared" si="6"/>
        <v>3994.2400000000002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L20" s="8"/>
      <c r="M20" s="1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8">
        <v>34.9</v>
      </c>
      <c r="J21" s="3"/>
      <c r="K21" s="3"/>
      <c r="L21" s="8"/>
      <c r="M21" s="1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8" t="s">
        <v>20</v>
      </c>
      <c r="E22" s="3"/>
      <c r="F22" s="3"/>
      <c r="G22" s="15" t="s">
        <v>54</v>
      </c>
      <c r="H22" s="16"/>
      <c r="I22" s="3">
        <v>2E-3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8">
        <v>10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8">
        <v>441</v>
      </c>
      <c r="E24" s="3"/>
      <c r="F24" s="3"/>
      <c r="G24" s="15" t="s">
        <v>58</v>
      </c>
      <c r="H24" s="16"/>
      <c r="I24" s="3">
        <f>15000*SQRT(I21*100/9.8)*0.8*9.8/100</f>
        <v>22192.53928688648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2850.2295699234242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4.62729652887107E-2</v>
      </c>
      <c r="E26" s="3"/>
      <c r="F26" s="3"/>
      <c r="G26" s="17" t="s">
        <v>61</v>
      </c>
      <c r="H26" s="16"/>
      <c r="I26" s="16"/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3.0225127994946172E-2</v>
      </c>
      <c r="E27" s="3"/>
      <c r="F27" s="3"/>
      <c r="G27" s="15" t="s">
        <v>63</v>
      </c>
      <c r="H27" s="16"/>
      <c r="I27" s="3">
        <f>(D18-SUM(N:N)/6)*(1-D14/2/D16)*(1-D14/2/D15)</f>
        <v>31085.321824029426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0.52914995575774093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3.6515993648854632E-3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3.5897078502263868E-3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7.24130721511185E-3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9246.8913695360334</v>
      </c>
      <c r="E32" s="3"/>
      <c r="F32" s="3"/>
      <c r="G32" s="15" t="s">
        <v>71</v>
      </c>
      <c r="H32" s="16"/>
      <c r="I32" s="3">
        <f>I28*I29*$D$12</f>
        <v>0.79994886794289299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2.42</v>
      </c>
      <c r="E33" s="3">
        <f>D12*I31</f>
        <v>2.9979011870563057</v>
      </c>
      <c r="F33" s="3"/>
      <c r="G33" s="15" t="s">
        <v>73</v>
      </c>
      <c r="H33" s="16"/>
      <c r="I33" s="3">
        <f>I28*I30*D12</f>
        <v>0.7863904125540303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5" t="s">
        <v>75</v>
      </c>
      <c r="H34" s="16"/>
      <c r="I34" s="3">
        <f>(I32+I33)/2/I21</f>
        <v>2.27269237893542E-2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0.21926304347826084</v>
      </c>
      <c r="E35" s="3"/>
      <c r="F35" s="3"/>
      <c r="G35" s="15" t="s">
        <v>77</v>
      </c>
      <c r="H35" s="16"/>
      <c r="I35" s="3">
        <f>MIN(I32, I33)/MAX(I32, I33)</f>
        <v>0.98305084745762705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1.2192630434782608</v>
      </c>
      <c r="E36" s="3">
        <f>1+D35</f>
        <v>1.2192630434782608</v>
      </c>
      <c r="F36" s="3"/>
      <c r="G36" s="15" t="s">
        <v>79</v>
      </c>
      <c r="H36" s="16"/>
      <c r="I36" s="3">
        <f>6.8886-(0.6069+17.275*I35)*EXP(1)^(-4.989*I35)</f>
        <v>6.7582016252625596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1.7978551761614279</v>
      </c>
      <c r="E37" s="3"/>
      <c r="F37" s="3"/>
      <c r="G37" s="15" t="s">
        <v>81</v>
      </c>
      <c r="H37" s="16"/>
      <c r="I37" s="3">
        <f>4.5/(5/I36*(0.9849-0.6306*EXP(1)^(-3.989*I35))-0.1)-5</f>
        <v>2.2647869187063456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135630.19448961812</v>
      </c>
      <c r="E38" s="3"/>
      <c r="F38" s="3"/>
      <c r="G38" s="15" t="s">
        <v>83</v>
      </c>
      <c r="H38" s="16"/>
      <c r="I38" s="3">
        <f>1+I36*I34*(0.1+0.9/(1+I37*I34))</f>
        <v>1.1468263113364783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93118.500594506768</v>
      </c>
      <c r="E39" s="3"/>
      <c r="F39" s="3"/>
      <c r="G39" s="15" t="s">
        <v>0</v>
      </c>
      <c r="H39" s="16"/>
      <c r="I39" s="3">
        <f>I21*I38</f>
        <v>40.024238265643092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228748.69508412489</v>
      </c>
      <c r="E40" s="3"/>
      <c r="F40" s="3"/>
      <c r="G40" s="15" t="s">
        <v>1</v>
      </c>
      <c r="H40" s="16"/>
      <c r="I40" s="3">
        <f>I22*(1+5*(I39/I21-1))</f>
        <v>3.4682631133647829E-3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653986392.11043608</v>
      </c>
      <c r="E41" s="3"/>
      <c r="F41" s="3"/>
      <c r="G41" s="15" t="s">
        <v>85</v>
      </c>
      <c r="H41" s="16"/>
      <c r="I41" s="3">
        <f>I24/(I24-I39/I40)</f>
        <v>2.0833369567802587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1.6025964647217276E-2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15.20545107141195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2024-05-16T11:26:35Z</dcterms:modified>
</cp:coreProperties>
</file>