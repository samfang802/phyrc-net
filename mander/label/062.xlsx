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A1Di9EqENDzZUYznflQTBJ43W9qoLCnQkfVbaBdPDzc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<sst xmlns="http://schemas.openxmlformats.org/spreadsheetml/2006/main" count="109" uniqueCount="86">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</sst>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705100" cy="24479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146.9362347</v>
      </c>
      <c r="B2" s="2">
        <f>Calculate!R3</f>
        <v>0.004688794015</v>
      </c>
      <c r="C2" s="2">
        <f>Calculate!S3</f>
        <v>5.623074094</v>
      </c>
      <c r="D2" s="2">
        <f>Calculate!T3</f>
        <v>0.01857888404</v>
      </c>
      <c r="E2" s="2">
        <f>Calculate!Q6</f>
        <v>300403.5924</v>
      </c>
      <c r="F2" s="2">
        <f>Calculate!R6</f>
        <v>505310795.5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146.9362347</v>
      </c>
      <c r="R3" s="1">
        <f>I40</f>
        <v>0.004688794015</v>
      </c>
      <c r="S3" s="1">
        <f>I43</f>
        <v>5.623074094</v>
      </c>
      <c r="T3" s="1">
        <f>I42</f>
        <v>0.01857888404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300403.5924</v>
      </c>
      <c r="R6" s="1">
        <f>D41</f>
        <v>505310795.5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328.4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115.8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40424.86364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16843.69318</v>
      </c>
      <c r="E32" s="3"/>
      <c r="F32" s="3"/>
      <c r="G32" s="3" t="s">
        <v>71</v>
      </c>
      <c r="I32" s="3">
        <f>I28*I29*$D$12</f>
        <v>5.003273328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12.0588198</v>
      </c>
      <c r="F33" s="3"/>
      <c r="G33" s="3" t="s">
        <v>73</v>
      </c>
      <c r="I33" s="3">
        <f>I28*I30*D12</f>
        <v>5.003273328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0.04320616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0.727526087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1.727526087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3.551143478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113636.5913</v>
      </c>
      <c r="E38" s="3"/>
      <c r="F38" s="3"/>
      <c r="G38" s="3" t="s">
        <v>83</v>
      </c>
      <c r="I38" s="3">
        <f>1+I36*I34*(0.1+0.9/(1+I37*I34))</f>
        <v>1.268879402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186767.0011</v>
      </c>
      <c r="E39" s="3"/>
      <c r="F39" s="3"/>
      <c r="G39" s="3" t="s">
        <v>0</v>
      </c>
      <c r="I39" s="3">
        <f>I21*I38</f>
        <v>146.9362347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300403.5924</v>
      </c>
      <c r="E40" s="3"/>
      <c r="F40" s="3"/>
      <c r="G40" s="3" t="s">
        <v>1</v>
      </c>
      <c r="I40" s="3">
        <f>I22*(1+5*(I39/I21-1))</f>
        <v>0.004688794015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505310795.5</v>
      </c>
      <c r="E41" s="3"/>
      <c r="F41" s="3"/>
      <c r="G41" s="3" t="s">
        <v>85</v>
      </c>
      <c r="I41" s="3">
        <f>I24/(I24-I39/I40)</f>
        <v>4.448590204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0.01857888404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5.623074094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