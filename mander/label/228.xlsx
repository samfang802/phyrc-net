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2EAFCFED-BD29-4F86-ABE7-09F2F68DC5C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9Hl3weGqmnQIVv33eGHybV03fl+iga8kk8c5NZTcpCk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D16" i="2"/>
  <c r="L15" i="2"/>
  <c r="M15" i="2" s="1"/>
  <c r="N15" i="2" s="1"/>
  <c r="L14" i="2"/>
  <c r="M14" i="2" s="1"/>
  <c r="N14" i="2" s="1"/>
  <c r="L13" i="2"/>
  <c r="M13" i="2" s="1"/>
  <c r="N13" i="2" s="1"/>
  <c r="L12" i="2"/>
  <c r="M12" i="2" s="1"/>
  <c r="N12" i="2" s="1"/>
  <c r="J8" i="2"/>
  <c r="K8" i="2" s="1"/>
  <c r="I8" i="2"/>
  <c r="I7" i="2"/>
  <c r="J7" i="2" s="1"/>
  <c r="K7" i="2" s="1"/>
  <c r="D7" i="2"/>
  <c r="D15" i="2" s="1"/>
  <c r="J6" i="2"/>
  <c r="K6" i="2" s="1"/>
  <c r="D25" i="2" s="1"/>
  <c r="I6" i="2"/>
  <c r="D6" i="2"/>
  <c r="I5" i="2"/>
  <c r="J5" i="2" s="1"/>
  <c r="K5" i="2" s="1"/>
  <c r="J4" i="2"/>
  <c r="K4" i="2" s="1"/>
  <c r="I4" i="2"/>
  <c r="J3" i="2"/>
  <c r="D14" i="2" s="1"/>
  <c r="I3" i="2"/>
  <c r="D27" i="2" l="1"/>
  <c r="D18" i="2"/>
  <c r="K3" i="2"/>
  <c r="D17" i="2" s="1"/>
  <c r="D32" i="2"/>
  <c r="D41" i="2" s="1"/>
  <c r="R6" i="2" s="1"/>
  <c r="F2" i="1" s="1"/>
  <c r="D39" i="2" l="1"/>
  <c r="I27" i="2"/>
  <c r="I28" i="2" s="1"/>
  <c r="I30" i="2"/>
  <c r="I29" i="2"/>
  <c r="I31" i="2" s="1"/>
  <c r="D26" i="2"/>
  <c r="I42" i="2" l="1"/>
  <c r="T3" i="2" s="1"/>
  <c r="D2" i="1" s="1"/>
  <c r="D33" i="2"/>
  <c r="E33" i="2"/>
  <c r="I33" i="2"/>
  <c r="I32" i="2"/>
  <c r="I34" i="2" l="1"/>
  <c r="I35" i="2"/>
  <c r="I36" i="2" s="1"/>
  <c r="E34" i="2"/>
  <c r="D34" i="2"/>
  <c r="D37" i="2" s="1"/>
  <c r="D38" i="2" s="1"/>
  <c r="D40" i="2" s="1"/>
  <c r="Q6" i="2" s="1"/>
  <c r="E2" i="1" s="1"/>
  <c r="I37" i="2" l="1"/>
  <c r="I38" i="2" s="1"/>
  <c r="I39" i="2" s="1"/>
  <c r="I40" i="2" l="1"/>
  <c r="R3" i="2" s="1"/>
  <c r="B2" i="1" s="1"/>
  <c r="Q3" i="2"/>
  <c r="A2" i="1" s="1"/>
  <c r="I41" i="2" l="1"/>
  <c r="I43" i="2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<sst xmlns="http://schemas.openxmlformats.org/spreadsheetml/2006/main" count="109" uniqueCount="86">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</sst>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18</xdr:row>
      <xdr:rowOff>123825</xdr:rowOff>
    </xdr:from>
    <xdr:ext cx="8829675" cy="6438900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36.387543489358109</v>
      </c>
      <c r="B2" s="2">
        <f>Calculate!R3</f>
        <v>2.7974906496611588E-3</v>
      </c>
      <c r="C2" s="2">
        <f>Calculate!S3</f>
        <v>2.8562537946264079</v>
      </c>
      <c r="D2" s="2">
        <f>Calculate!T3</f>
        <v>2.8827351768107259E-2</v>
      </c>
      <c r="E2" s="2">
        <f>Calculate!Q6</f>
        <v>91271.647964331845</v>
      </c>
      <c r="F2" s="2">
        <f>Calculate!R6</f>
        <v>316562294.91365564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7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2/8</f>
        <v>0.25</v>
      </c>
      <c r="J3" s="5">
        <f t="shared" ref="J3:J8" si="0">I3*25.4</f>
        <v>6.35</v>
      </c>
      <c r="K3" s="1">
        <f t="shared" ref="K3:K8" si="1">PI()*J3^2/4</f>
        <v>31.669217443593606</v>
      </c>
      <c r="L3" s="3"/>
      <c r="M3" s="3"/>
      <c r="N3" s="3"/>
      <c r="O3" s="3"/>
      <c r="P3" s="3"/>
      <c r="Q3" s="1">
        <f>I39</f>
        <v>36.387543489358109</v>
      </c>
      <c r="R3" s="1">
        <f>I40</f>
        <v>2.7974906496611588E-3</v>
      </c>
      <c r="S3" s="1">
        <f>I43</f>
        <v>2.8562537946264079</v>
      </c>
      <c r="T3" s="1">
        <f>I42</f>
        <v>2.8827351768107259E-2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152.4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304.8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11">
        <f t="shared" ref="D6:D7" si="2">11/8*25.4</f>
        <v>34.924999999999997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91271.647964331845</v>
      </c>
      <c r="R6" s="1">
        <f>D41</f>
        <v>316562294.91365564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11">
        <f t="shared" si="2"/>
        <v>34.924999999999997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2" t="s">
        <v>25</v>
      </c>
      <c r="H8" s="5" t="s">
        <v>26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76.2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410.9</v>
      </c>
      <c r="E12" s="3"/>
      <c r="F12" s="3"/>
      <c r="G12" s="3"/>
      <c r="H12" s="3"/>
      <c r="I12" s="11"/>
      <c r="J12" s="11" t="s">
        <v>14</v>
      </c>
      <c r="K12" s="3"/>
      <c r="L12" s="11">
        <f>2*25.4</f>
        <v>50.8</v>
      </c>
      <c r="M12" s="13">
        <f t="shared" ref="M12:M17" si="3">L12-VLOOKUP($D$22, $G$3:$K$8, 4, FALSE)</f>
        <v>31.75</v>
      </c>
      <c r="N12" s="3">
        <f t="shared" ref="N12:N17" si="4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1"/>
      <c r="J13" s="11" t="s">
        <v>17</v>
      </c>
      <c r="K13" s="3"/>
      <c r="L13" s="11">
        <f>8*25.4</f>
        <v>203.2</v>
      </c>
      <c r="M13" s="13">
        <f t="shared" si="3"/>
        <v>184.14999999999998</v>
      </c>
      <c r="N13" s="3">
        <f t="shared" si="4"/>
        <v>33911.222499999989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69.850000000000009</v>
      </c>
      <c r="E14" s="3"/>
      <c r="F14" s="3"/>
      <c r="G14" s="3"/>
      <c r="H14" s="3"/>
      <c r="K14" s="3"/>
      <c r="L14" s="11">
        <f>2*25.4</f>
        <v>50.8</v>
      </c>
      <c r="M14" s="13">
        <f t="shared" si="3"/>
        <v>31.75</v>
      </c>
      <c r="N14" s="3">
        <f t="shared" si="4"/>
        <v>1008.0625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76.200000000000017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1">
        <f>8*25.4</f>
        <v>203.2</v>
      </c>
      <c r="M15" s="13">
        <f t="shared" si="3"/>
        <v>184.14999999999998</v>
      </c>
      <c r="N15" s="3">
        <f t="shared" si="4"/>
        <v>33911.222499999989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228.60000000000002</v>
      </c>
      <c r="E16" s="3"/>
      <c r="F16" s="3"/>
      <c r="G16" s="3"/>
      <c r="H16" s="3"/>
      <c r="I16" s="8">
        <v>2</v>
      </c>
      <c r="J16" s="8" t="s">
        <v>12</v>
      </c>
      <c r="K16" s="3"/>
      <c r="L16" s="11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31.669217443593606</v>
      </c>
      <c r="E17" s="3"/>
      <c r="F17" s="3"/>
      <c r="G17" s="3"/>
      <c r="H17" s="3"/>
      <c r="I17" s="11"/>
      <c r="J17" s="11" t="s">
        <v>14</v>
      </c>
      <c r="K17" s="3"/>
      <c r="L17" s="11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17419.320000000007</v>
      </c>
      <c r="E18" s="3"/>
      <c r="F18" s="3"/>
      <c r="G18" s="3"/>
      <c r="H18" s="3"/>
      <c r="I18" s="11"/>
      <c r="J18" s="11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33.700000000000003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20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4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453</v>
      </c>
      <c r="E24" s="3"/>
      <c r="F24" s="3"/>
      <c r="G24" s="15" t="s">
        <v>58</v>
      </c>
      <c r="H24" s="16"/>
      <c r="I24" s="3">
        <f>15000*SQRT(I21*100/9.8)*0.8*9.8/100</f>
        <v>21807.668376055248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1140.0918279693697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6.544984694978731E-2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2.4543692606170252E-2</v>
      </c>
      <c r="E27" s="3"/>
      <c r="F27" s="3"/>
      <c r="G27" s="15" t="s">
        <v>63</v>
      </c>
      <c r="H27" s="16"/>
      <c r="I27" s="3">
        <f>(D18-SUM(N:N)/6)*(1-D14/2/D16)*(1-D14/2/D15)</f>
        <v>2652.3088879243874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0.16292596061042516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3.6361026083215195E-3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1.0908307824964556E-2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1.4544410433286074E-2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9086.5284900230199</v>
      </c>
      <c r="E32" s="3"/>
      <c r="F32" s="3"/>
      <c r="G32" s="15" t="s">
        <v>71</v>
      </c>
      <c r="H32" s="16"/>
      <c r="I32" s="3">
        <f>I28*I29*$D$12</f>
        <v>0.24342353319823593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5.9762982470372474</v>
      </c>
      <c r="F33" s="3"/>
      <c r="G33" s="15" t="s">
        <v>73</v>
      </c>
      <c r="H33" s="16"/>
      <c r="I33" s="3">
        <f>I28*I30*D12</f>
        <v>0.73027059959470775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1.4446500486542189E-2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0.21172391304347826</v>
      </c>
      <c r="E35" s="3"/>
      <c r="F35" s="3"/>
      <c r="G35" s="15" t="s">
        <v>77</v>
      </c>
      <c r="H35" s="16"/>
      <c r="I35" s="3">
        <f>MIN(I32, I33)/MAX(I32, I33)</f>
        <v>0.33333333333333337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1.2117239130434783</v>
      </c>
      <c r="E36" s="3">
        <f>1+D35</f>
        <v>1.2117239130434783</v>
      </c>
      <c r="F36" s="3"/>
      <c r="G36" s="15" t="s">
        <v>79</v>
      </c>
      <c r="H36" s="16"/>
      <c r="I36" s="3">
        <f>6.8886-(0.6069+17.275*I35)*EXP(1)^(-4.989*I35)</f>
        <v>5.6819464220009124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1.7557521548591577</v>
      </c>
      <c r="E37" s="3"/>
      <c r="F37" s="3"/>
      <c r="G37" s="15" t="s">
        <v>81</v>
      </c>
      <c r="H37" s="16"/>
      <c r="I37" s="3">
        <f>4.5/(5/I36*(0.9849-0.6306*EXP(1)^(-3.989*I35))-0.1)-5</f>
        <v>2.2594580471846024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65245.885069186625</v>
      </c>
      <c r="E38" s="3"/>
      <c r="F38" s="3"/>
      <c r="G38" s="15" t="s">
        <v>83</v>
      </c>
      <c r="H38" s="16"/>
      <c r="I38" s="3">
        <f>1+I36*I34*(0.1+0.9/(1+I37*I34))</f>
        <v>1.0797490649661159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26025.762895145228</v>
      </c>
      <c r="E39" s="3"/>
      <c r="F39" s="3"/>
      <c r="G39" s="15" t="s">
        <v>0</v>
      </c>
      <c r="H39" s="16"/>
      <c r="I39" s="3">
        <f>I21*I38</f>
        <v>36.387543489358109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91271.647964331845</v>
      </c>
      <c r="E40" s="3"/>
      <c r="F40" s="3"/>
      <c r="G40" s="15" t="s">
        <v>1</v>
      </c>
      <c r="H40" s="16"/>
      <c r="I40" s="3">
        <f>I22*(1+5*(I39/I21-1))</f>
        <v>2.7974906496611588E-3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316562294.91365564</v>
      </c>
      <c r="E41" s="3"/>
      <c r="F41" s="3"/>
      <c r="G41" s="15" t="s">
        <v>85</v>
      </c>
      <c r="H41" s="16"/>
      <c r="I41" s="3">
        <f>I24/(I24-I39/I40)</f>
        <v>2.4780145687664001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2.8827351768107259E-2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2.8562537946264079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2024-05-16T11:48:40Z</dcterms:modified>
</cp:coreProperties>
</file>