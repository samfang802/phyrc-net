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w3xOzfb/rI5SL3HpeKO4hOUjLNGXczUWWXsmtP3le+4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<sst xmlns="http://schemas.openxmlformats.org/spreadsheetml/2006/main" count="109" uniqueCount="85">
  <si>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</si>
  <si>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</si>
  <si>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</si>
  <si>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</si>
  <si>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</si>
  <si>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</si>
  <si>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</si>
  <si>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</si>
  <si>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</si>
  <si>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</si>
  <si>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</si>
  <si>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</si>
  <si>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</si>
  <si>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</si>
  <si>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</si>
  <si>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10M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</si>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</sst>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134.825445</v>
      </c>
      <c r="B2" s="2">
        <f>Calculate!R3</f>
        <v>0.005218180887</v>
      </c>
      <c r="C2" s="2">
        <f>Calculate!S3</f>
        <v>11.66408513</v>
      </c>
      <c r="D2" s="2">
        <f>Calculate!T3</f>
        <v>0.02789706131</v>
      </c>
      <c r="E2" s="2">
        <f>Calculate!Q6</f>
        <v>862597.4244</v>
      </c>
      <c r="F2" s="2">
        <f>Calculate!R6</f>
        <v>1102920147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134.825445</v>
      </c>
      <c r="R3" s="1">
        <f>I40</f>
        <v>0.005218180887</v>
      </c>
      <c r="S3" s="1">
        <f>I43</f>
        <v>11.66408513</v>
      </c>
      <c r="T3" s="1">
        <f>I42</f>
        <v>0.02789706131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10" t="s">
        <v>15</v>
      </c>
      <c r="H4" s="11" t="s">
        <v>15</v>
      </c>
      <c r="I4" s="6">
        <f>11.3/25.4</f>
        <v>0.4448818898</v>
      </c>
      <c r="J4" s="6">
        <f>11.3</f>
        <v>11.3</v>
      </c>
      <c r="K4" s="1">
        <f t="shared" si="1"/>
        <v>100.2874915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305.0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14.0</v>
      </c>
      <c r="E6" s="3"/>
      <c r="F6" s="3"/>
      <c r="G6" s="10" t="s">
        <v>20</v>
      </c>
      <c r="H6" s="11" t="s">
        <v>20</v>
      </c>
      <c r="I6" s="6">
        <f>19.5/25.4</f>
        <v>0.7677165354</v>
      </c>
      <c r="J6" s="6">
        <f>19.5</f>
        <v>19.5</v>
      </c>
      <c r="K6" s="1">
        <f t="shared" si="1"/>
        <v>298.6476516</v>
      </c>
      <c r="L6" s="3"/>
      <c r="M6" s="3"/>
      <c r="N6" s="3"/>
      <c r="O6" s="3"/>
      <c r="P6" s="3"/>
      <c r="Q6" s="1">
        <f>D40</f>
        <v>862597.4244</v>
      </c>
      <c r="R6" s="1">
        <f>D41</f>
        <v>1102920147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9">
        <v>14.0</v>
      </c>
      <c r="E7" s="3"/>
      <c r="F7" s="3"/>
      <c r="G7" s="8" t="s">
        <v>22</v>
      </c>
      <c r="H7" s="6" t="s">
        <v>23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9">
        <v>94.0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9">
        <v>542.0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19" si="3">247.5/2</f>
        <v>123.75</v>
      </c>
      <c r="M12" s="16">
        <f t="shared" ref="M12:M19" si="4">L12-VLOOKUP($D$22, $G$3:$K$8, 4, FALSE)</f>
        <v>104.25</v>
      </c>
      <c r="N12" s="3">
        <f t="shared" ref="N12:N19" si="5">M12^2</f>
        <v>10868.0625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123.75</v>
      </c>
      <c r="M13" s="16">
        <f t="shared" si="4"/>
        <v>104.25</v>
      </c>
      <c r="N13" s="3">
        <f t="shared" si="5"/>
        <v>10868.0625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71.4</v>
      </c>
      <c r="E14" s="3"/>
      <c r="F14" s="3"/>
      <c r="G14" s="3"/>
      <c r="H14" s="3"/>
      <c r="K14" s="3"/>
      <c r="L14" s="15">
        <f t="shared" si="3"/>
        <v>123.75</v>
      </c>
      <c r="M14" s="16">
        <f t="shared" si="4"/>
        <v>104.25</v>
      </c>
      <c r="N14" s="3">
        <f t="shared" si="5"/>
        <v>10868.0625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265.7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123.75</v>
      </c>
      <c r="M15" s="16">
        <f t="shared" si="4"/>
        <v>104.25</v>
      </c>
      <c r="N15" s="3">
        <f t="shared" si="5"/>
        <v>10868.0625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265.7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123.75</v>
      </c>
      <c r="M16" s="16">
        <f t="shared" si="4"/>
        <v>104.25</v>
      </c>
      <c r="N16" s="3">
        <f t="shared" si="5"/>
        <v>10868.0625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200.574983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123.75</v>
      </c>
      <c r="M17" s="16">
        <f t="shared" si="4"/>
        <v>104.25</v>
      </c>
      <c r="N17" s="3">
        <f t="shared" si="5"/>
        <v>10868.0625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70596.49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123.75</v>
      </c>
      <c r="M18" s="16">
        <f t="shared" si="4"/>
        <v>104.25</v>
      </c>
      <c r="N18" s="3">
        <f t="shared" si="5"/>
        <v>10868.0625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123.75</v>
      </c>
      <c r="M19" s="16">
        <f t="shared" si="4"/>
        <v>104.25</v>
      </c>
      <c r="N19" s="3">
        <f t="shared" si="5"/>
        <v>10868.0625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9">
        <v>102.0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9" t="s">
        <v>20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9">
        <v>8.0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9">
        <v>454.0</v>
      </c>
      <c r="E24" s="3"/>
      <c r="F24" s="3"/>
      <c r="G24" s="3" t="s">
        <v>57</v>
      </c>
      <c r="I24" s="3">
        <f>15000*SQRT(I21*100/9.8)*0.8*9.8/100</f>
        <v>37939.7417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2389.181213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0.03384277622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0.02568321648</v>
      </c>
      <c r="E27" s="3"/>
      <c r="F27" s="3"/>
      <c r="G27" s="3" t="s">
        <v>62</v>
      </c>
      <c r="I27" s="3">
        <f>(D18-SUM(N:N)/6)*(1-D14/2/D16)*(1-D14/2/D15)</f>
        <v>42041.66023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0.6163805753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0.01606154621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0.01606154621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0.03212309243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15808.22571</v>
      </c>
      <c r="E32" s="3"/>
      <c r="F32" s="3"/>
      <c r="G32" s="3" t="s">
        <v>70</v>
      </c>
      <c r="I32" s="3">
        <f>I28*I29*$D$12</f>
        <v>5.365813602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17.4107161</v>
      </c>
      <c r="F33" s="3"/>
      <c r="G33" s="3" t="s">
        <v>72</v>
      </c>
      <c r="I33" s="3">
        <f>I28*I30*D12</f>
        <v>5.365813602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0.0526060157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0.640826087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1.640826087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3.33283663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248029.702</v>
      </c>
      <c r="E38" s="3"/>
      <c r="F38" s="3"/>
      <c r="G38" s="3" t="s">
        <v>82</v>
      </c>
      <c r="I38" s="3">
        <f>1+I36*I34*(0.1+0.9/(1+I37*I34))</f>
        <v>1.321818089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614567.7224</v>
      </c>
      <c r="E39" s="3"/>
      <c r="F39" s="3"/>
      <c r="G39" s="3" t="s">
        <v>0</v>
      </c>
      <c r="I39" s="3">
        <f>I21*I38</f>
        <v>134.825445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862597.4244</v>
      </c>
      <c r="E40" s="3"/>
      <c r="F40" s="3"/>
      <c r="G40" s="3" t="s">
        <v>1</v>
      </c>
      <c r="I40" s="3">
        <f>I22*(1+5*(I39/I21-1))</f>
        <v>0.005218180887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1102920147</v>
      </c>
      <c r="E41" s="3"/>
      <c r="F41" s="3"/>
      <c r="G41" s="3" t="s">
        <v>84</v>
      </c>
      <c r="I41" s="3">
        <f>I24/(I24-I39/I40)</f>
        <v>3.134969621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0.02789706131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11.66408513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