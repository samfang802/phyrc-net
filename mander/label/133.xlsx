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DF6BFE27-BCFE-47F6-9601-5FD1734C29B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uZ08JSji1MLdGja1QPogLbdEiqPeNg688/Vw9wV9uY="/>
    </ext>
  </extLst>
</workbook>
</file>

<file path=xl/calcChain.xml><?xml version="1.0" encoding="utf-8"?>
<calcChain xmlns="http://schemas.openxmlformats.org/spreadsheetml/2006/main">
  <c r="L23" i="2" l="1"/>
  <c r="M23" i="2" s="1"/>
  <c r="N23" i="2" s="1"/>
  <c r="L22" i="2"/>
  <c r="L21" i="2"/>
  <c r="L17" i="2"/>
  <c r="L16" i="2"/>
  <c r="L15" i="2"/>
  <c r="E36" i="2"/>
  <c r="D36" i="2"/>
  <c r="D35" i="2"/>
  <c r="D32" i="2"/>
  <c r="D41" i="2" s="1"/>
  <c r="R6" i="2" s="1"/>
  <c r="F2" i="1" s="1"/>
  <c r="I24" i="2"/>
  <c r="M22" i="2"/>
  <c r="N22" i="2" s="1"/>
  <c r="M21" i="2"/>
  <c r="N21" i="2" s="1"/>
  <c r="M20" i="2"/>
  <c r="N20" i="2" s="1"/>
  <c r="M12" i="2"/>
  <c r="N12" i="2" s="1"/>
  <c r="I8" i="2"/>
  <c r="J8" i="2" s="1"/>
  <c r="K8" i="2" s="1"/>
  <c r="J7" i="2"/>
  <c r="K7" i="2" s="1"/>
  <c r="I7" i="2"/>
  <c r="I6" i="2"/>
  <c r="J6" i="2" s="1"/>
  <c r="I5" i="2"/>
  <c r="J5" i="2" s="1"/>
  <c r="K5" i="2" s="1"/>
  <c r="I4" i="2"/>
  <c r="J4" i="2" s="1"/>
  <c r="K3" i="2"/>
  <c r="J3" i="2"/>
  <c r="I3" i="2"/>
  <c r="D15" i="2" l="1"/>
  <c r="K4" i="2"/>
  <c r="D17" i="2" s="1"/>
  <c r="D14" i="2"/>
  <c r="D16" i="2"/>
  <c r="I29" i="2" s="1"/>
  <c r="M14" i="2"/>
  <c r="N14" i="2" s="1"/>
  <c r="M15" i="2"/>
  <c r="N15" i="2" s="1"/>
  <c r="M17" i="2"/>
  <c r="N17" i="2" s="1"/>
  <c r="M19" i="2"/>
  <c r="N19" i="2" s="1"/>
  <c r="K6" i="2"/>
  <c r="D25" i="2" s="1"/>
  <c r="M13" i="2"/>
  <c r="N13" i="2" s="1"/>
  <c r="M16" i="2"/>
  <c r="N16" i="2" s="1"/>
  <c r="M18" i="2"/>
  <c r="N18" i="2" s="1"/>
  <c r="D27" i="2" l="1"/>
  <c r="D18" i="2"/>
  <c r="I27" i="2" s="1"/>
  <c r="D39" i="2"/>
  <c r="I30" i="2"/>
  <c r="I31" i="2" s="1"/>
  <c r="I42" i="2" l="1"/>
  <c r="T3" i="2" s="1"/>
  <c r="D2" i="1" s="1"/>
  <c r="E33" i="2"/>
  <c r="D33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<sst xmlns="http://schemas.openxmlformats.org/spreadsheetml/2006/main" count="109" uniqueCount="87">
  <si>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</si>
  <si>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</si>
  <si>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</si>
  <si>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</si>
  <si>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</si>
  <si>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</si>
  <si>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</si>
  <si>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</si>
  <si>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</si>
  <si>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</si>
  <si>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</si>
  <si>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</si>
  <si>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</si>
  <si>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</si>
  <si>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</si>
  <si>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#2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</si>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</sst>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563975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657975" cy="38100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33.311558837295657</v>
      </c>
      <c r="B2" s="2">
        <f>Calculate!R3</f>
        <v>4.2468966313586962E-3</v>
      </c>
      <c r="C2" s="2">
        <f>Calculate!S3</f>
        <v>19.068214665455219</v>
      </c>
      <c r="D2" s="2">
        <f>Calculate!T3</f>
        <v>1.9514162306822021E-2</v>
      </c>
      <c r="E2" s="2">
        <f>Calculate!Q6</f>
        <v>552579.19223335851</v>
      </c>
      <c r="F2" s="2">
        <f>Calculate!R6</f>
        <v>1419195381.6863983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zoomScaleNormal="100" workbookViewId="0">
      <selection activeCell="L33" sqref="L33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7.4257812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33.311558837295657</v>
      </c>
      <c r="R3" s="1">
        <f>I40</f>
        <v>4.2468966313586962E-3</v>
      </c>
      <c r="S3" s="1">
        <f>I43</f>
        <v>19.068214665455219</v>
      </c>
      <c r="T3" s="1">
        <f>I42</f>
        <v>1.9514162306822021E-2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7">
        <v>610</v>
      </c>
      <c r="E4" s="3"/>
      <c r="F4" s="3"/>
      <c r="G4" s="8" t="s">
        <v>15</v>
      </c>
      <c r="H4" s="5" t="s">
        <v>16</v>
      </c>
      <c r="I4" s="5">
        <f>2/8</f>
        <v>0.25</v>
      </c>
      <c r="J4" s="5">
        <f t="shared" si="0"/>
        <v>6.35</v>
      </c>
      <c r="K4" s="1">
        <f t="shared" si="1"/>
        <v>31.669217443593606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7">
        <v>380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7">
        <v>28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552579.19223335851</v>
      </c>
      <c r="R6" s="1">
        <f>D41</f>
        <v>1419195381.6863983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7">
        <v>28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7">
        <v>110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7" t="s">
        <v>15</v>
      </c>
      <c r="E11" s="3"/>
      <c r="F11" s="3"/>
      <c r="G11" s="3"/>
      <c r="H11" s="3"/>
      <c r="I11" s="7">
        <v>0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7">
        <v>428</v>
      </c>
      <c r="E12" s="3"/>
      <c r="F12" s="3"/>
      <c r="G12" s="3"/>
      <c r="H12" s="3"/>
      <c r="I12" s="7">
        <v>4</v>
      </c>
      <c r="J12" s="7" t="s">
        <v>15</v>
      </c>
      <c r="K12" s="3"/>
      <c r="L12" s="11">
        <v>174</v>
      </c>
      <c r="M12" s="12">
        <f t="shared" ref="M12:M29" si="2">L12-VLOOKUP($D$22, $G$3:$K$8, 4, FALSE)</f>
        <v>154.94999999999999</v>
      </c>
      <c r="N12" s="3">
        <f t="shared" ref="N12:N29" si="3">M12^2</f>
        <v>24009.502499999995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7">
        <v>1</v>
      </c>
      <c r="E13" s="3"/>
      <c r="F13" s="3"/>
      <c r="G13" s="3"/>
      <c r="H13" s="3"/>
      <c r="I13" s="7">
        <v>0</v>
      </c>
      <c r="J13" s="11" t="s">
        <v>18</v>
      </c>
      <c r="K13" s="3"/>
      <c r="L13" s="11">
        <v>174</v>
      </c>
      <c r="M13" s="12">
        <f t="shared" si="2"/>
        <v>154.94999999999999</v>
      </c>
      <c r="N13" s="3">
        <f t="shared" si="3"/>
        <v>24009.502499999995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103.65</v>
      </c>
      <c r="E14" s="3"/>
      <c r="F14" s="3"/>
      <c r="G14" s="3"/>
      <c r="H14" s="3"/>
      <c r="K14" s="3"/>
      <c r="L14" s="11">
        <v>174</v>
      </c>
      <c r="M14" s="12">
        <f t="shared" si="2"/>
        <v>154.94999999999999</v>
      </c>
      <c r="N14" s="3">
        <f t="shared" si="3"/>
        <v>24009.502499999995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547.65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11">
        <f t="shared" ref="L15:L17" si="4">292/3</f>
        <v>97.333333333333329</v>
      </c>
      <c r="M15" s="12">
        <f t="shared" si="2"/>
        <v>78.283333333333331</v>
      </c>
      <c r="N15" s="3">
        <f t="shared" si="3"/>
        <v>6128.2802777777779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317.64999999999998</v>
      </c>
      <c r="E16" s="3"/>
      <c r="F16" s="3"/>
      <c r="G16" s="3"/>
      <c r="H16" s="3"/>
      <c r="I16" s="7">
        <v>2</v>
      </c>
      <c r="J16" s="11" t="s">
        <v>12</v>
      </c>
      <c r="K16" s="3"/>
      <c r="L16" s="11">
        <f t="shared" si="4"/>
        <v>97.333333333333329</v>
      </c>
      <c r="M16" s="12">
        <f t="shared" si="2"/>
        <v>78.283333333333331</v>
      </c>
      <c r="N16" s="3">
        <f t="shared" si="3"/>
        <v>6128.2802777777779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31.669217443593606</v>
      </c>
      <c r="E17" s="3"/>
      <c r="F17" s="3"/>
      <c r="G17" s="3"/>
      <c r="H17" s="3"/>
      <c r="I17" s="7">
        <v>2</v>
      </c>
      <c r="J17" s="7" t="s">
        <v>15</v>
      </c>
      <c r="K17" s="3"/>
      <c r="L17" s="11">
        <f t="shared" si="4"/>
        <v>97.333333333333329</v>
      </c>
      <c r="M17" s="12">
        <f t="shared" si="2"/>
        <v>78.283333333333331</v>
      </c>
      <c r="N17" s="3">
        <f t="shared" si="3"/>
        <v>6128.2802777777779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173961.02249999999</v>
      </c>
      <c r="E18" s="3"/>
      <c r="F18" s="3"/>
      <c r="G18" s="3"/>
      <c r="H18" s="3"/>
      <c r="I18" s="7">
        <v>0</v>
      </c>
      <c r="J18" s="11" t="s">
        <v>18</v>
      </c>
      <c r="K18" s="3"/>
      <c r="L18" s="11">
        <v>174</v>
      </c>
      <c r="M18" s="12">
        <f t="shared" si="2"/>
        <v>154.94999999999999</v>
      </c>
      <c r="N18" s="3">
        <f t="shared" si="3"/>
        <v>24009.502499999995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1">
        <v>174</v>
      </c>
      <c r="M19" s="12">
        <f t="shared" si="2"/>
        <v>154.94999999999999</v>
      </c>
      <c r="N19" s="3">
        <f t="shared" si="3"/>
        <v>24009.502499999995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L20" s="11">
        <v>174</v>
      </c>
      <c r="M20" s="12">
        <f t="shared" si="2"/>
        <v>154.94999999999999</v>
      </c>
      <c r="N20" s="3">
        <f t="shared" si="3"/>
        <v>24009.502499999995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7">
        <v>27.2</v>
      </c>
      <c r="J21" s="3"/>
      <c r="K21" s="3"/>
      <c r="L21" s="11">
        <f t="shared" ref="L21:L23" si="5">292/3</f>
        <v>97.333333333333329</v>
      </c>
      <c r="M21" s="12">
        <f t="shared" si="2"/>
        <v>78.283333333333331</v>
      </c>
      <c r="N21" s="3">
        <f t="shared" si="3"/>
        <v>6128.2802777777779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7" t="s">
        <v>21</v>
      </c>
      <c r="E22" s="3"/>
      <c r="F22" s="3"/>
      <c r="G22" s="14" t="s">
        <v>55</v>
      </c>
      <c r="H22" s="15"/>
      <c r="I22" s="3">
        <v>2E-3</v>
      </c>
      <c r="J22" s="3"/>
      <c r="K22" s="3"/>
      <c r="L22" s="11">
        <f t="shared" si="5"/>
        <v>97.333333333333329</v>
      </c>
      <c r="M22" s="12">
        <f t="shared" si="2"/>
        <v>78.283333333333331</v>
      </c>
      <c r="N22" s="3">
        <f t="shared" si="3"/>
        <v>6128.2802777777779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7">
        <v>18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L23" s="11">
        <f t="shared" si="5"/>
        <v>97.333333333333329</v>
      </c>
      <c r="M23" s="12">
        <f t="shared" si="2"/>
        <v>78.283333333333331</v>
      </c>
      <c r="N23" s="3">
        <f t="shared" si="3"/>
        <v>6128.2802777777779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7">
        <v>448</v>
      </c>
      <c r="E24" s="3"/>
      <c r="F24" s="3"/>
      <c r="G24" s="14" t="s">
        <v>59</v>
      </c>
      <c r="H24" s="15"/>
      <c r="I24" s="3">
        <f>15000*SQRT(I21*100/9.8)*0.8*9.8/100</f>
        <v>19591.998366680215</v>
      </c>
      <c r="J24" s="3"/>
      <c r="K24" s="3"/>
      <c r="L24" s="11"/>
      <c r="M24" s="1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5130.413225862163</v>
      </c>
      <c r="E25" s="3"/>
      <c r="F25" s="3"/>
      <c r="G25" s="3"/>
      <c r="H25" s="3"/>
      <c r="I25" s="3"/>
      <c r="J25" s="3"/>
      <c r="K25" s="3"/>
      <c r="L25" s="11"/>
      <c r="M25" s="1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2.9491739885940043E-2</v>
      </c>
      <c r="E26" s="3"/>
      <c r="F26" s="3"/>
      <c r="G26" s="16" t="s">
        <v>62</v>
      </c>
      <c r="H26" s="15"/>
      <c r="I26" s="15"/>
      <c r="J26" s="3"/>
      <c r="K26" s="3"/>
      <c r="L26" s="11"/>
      <c r="M26" s="1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2.2132930223736681E-2</v>
      </c>
      <c r="E27" s="3"/>
      <c r="F27" s="3"/>
      <c r="G27" s="14" t="s">
        <v>64</v>
      </c>
      <c r="H27" s="15"/>
      <c r="I27" s="3">
        <f>(D18-SUM(N:N)/6)*(1-D14/2/D16)*(1-D14/2/D15)</f>
        <v>108968.59686807639</v>
      </c>
      <c r="J27" s="3"/>
      <c r="L27" s="11"/>
      <c r="M27" s="1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0.64543152060263664</v>
      </c>
      <c r="J28" s="3"/>
      <c r="K28" s="3"/>
      <c r="L28" s="11"/>
      <c r="M28" s="1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3.6253987314332366E-3</v>
      </c>
      <c r="J29" s="3"/>
      <c r="K29" s="3"/>
      <c r="L29" s="11"/>
      <c r="M29" s="1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3.4170781501682134E-3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7.0424768816014505E-3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8163.3326527834233</v>
      </c>
      <c r="E32" s="3"/>
      <c r="F32" s="3"/>
      <c r="G32" s="14" t="s">
        <v>72</v>
      </c>
      <c r="H32" s="15"/>
      <c r="I32" s="3">
        <f>I28*I29*$D$12</f>
        <v>1.0014971516564846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2.42</v>
      </c>
      <c r="E33" s="3">
        <f>D12*I31</f>
        <v>3.0141801053254209</v>
      </c>
      <c r="F33" s="3"/>
      <c r="G33" s="14" t="s">
        <v>74</v>
      </c>
      <c r="H33" s="15"/>
      <c r="I33" s="3">
        <f>I28*I30*D12</f>
        <v>0.94394969709391707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4" t="s">
        <v>76</v>
      </c>
      <c r="H34" s="15"/>
      <c r="I34" s="3">
        <f>(I32+I33)/2/I21</f>
        <v>3.5761890602029438E-2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0.17088695652173913</v>
      </c>
      <c r="E35" s="3"/>
      <c r="F35" s="3"/>
      <c r="G35" s="14" t="s">
        <v>78</v>
      </c>
      <c r="H35" s="15"/>
      <c r="I35" s="3">
        <f>MIN(I32, I33)/MAX(I32, I33)</f>
        <v>0.94253857390669205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1.170886956521739</v>
      </c>
      <c r="E36" s="3">
        <f>1+D35</f>
        <v>1.170886956521739</v>
      </c>
      <c r="F36" s="3"/>
      <c r="G36" s="14" t="s">
        <v>80</v>
      </c>
      <c r="H36" s="15"/>
      <c r="I36" s="3">
        <f>6.8886-(0.6069+17.275*I35)*EXP(1)^(-4.989*I35)</f>
        <v>6.735344281736694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1.5242071729351694</v>
      </c>
      <c r="E37" s="3"/>
      <c r="F37" s="3"/>
      <c r="G37" s="14" t="s">
        <v>82</v>
      </c>
      <c r="H37" s="15"/>
      <c r="I37" s="3">
        <f>4.5/(5/I36*(0.9849-0.6306*EXP(1)^(-3.989*I35))-0.1)-5</f>
        <v>2.2552450604079635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282648.97814909782</v>
      </c>
      <c r="E38" s="3"/>
      <c r="F38" s="3"/>
      <c r="G38" s="14" t="s">
        <v>84</v>
      </c>
      <c r="H38" s="15"/>
      <c r="I38" s="3">
        <f>1+I36*I34*(0.1+0.9/(1+I37*I34))</f>
        <v>1.2246896631358697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269930.21408426069</v>
      </c>
      <c r="E39" s="3"/>
      <c r="F39" s="3"/>
      <c r="G39" s="14" t="s">
        <v>0</v>
      </c>
      <c r="H39" s="15"/>
      <c r="I39" s="3">
        <f>I21*I38</f>
        <v>33.311558837295657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552579.19223335851</v>
      </c>
      <c r="E40" s="3"/>
      <c r="F40" s="3"/>
      <c r="G40" s="14" t="s">
        <v>1</v>
      </c>
      <c r="H40" s="15"/>
      <c r="I40" s="3">
        <f>I22*(1+5*(I39/I21-1))</f>
        <v>4.2468966313586962E-3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1419195381.6863983</v>
      </c>
      <c r="E41" s="3"/>
      <c r="F41" s="3"/>
      <c r="G41" s="14" t="s">
        <v>86</v>
      </c>
      <c r="H41" s="15"/>
      <c r="I41" s="3">
        <f>I24/(I24-I39/I40)</f>
        <v>1.6676514981134485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1.9514162306822021E-2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19.068214665455219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2024-05-16T11:35:16Z</dcterms:modified>
</cp:coreProperties>
</file>