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0vlc79uIjOzC24+VA71XE60BrtdK0eJ1+q3ilGuyRJw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<sst xmlns="http://schemas.openxmlformats.org/spreadsheetml/2006/main" count="109" uniqueCount="87">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</sst>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476250</xdr:colOff>
      <xdr:row>18</xdr:row>
      <xdr:rowOff>200025</xdr:rowOff>
    </xdr:from>
    <xdr:ext cx="9039225" cy="29813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38.35335057</v>
      </c>
      <c r="B2" s="2">
        <f>Calculate!R3</f>
        <v>0.005045357338</v>
      </c>
      <c r="C2" s="2">
        <f>Calculate!S3</f>
        <v>19.03132414</v>
      </c>
      <c r="D2" s="2">
        <f>Calculate!T3</f>
        <v>0.03424328267</v>
      </c>
      <c r="E2" s="2">
        <f>Calculate!Q6</f>
        <v>289469.5448</v>
      </c>
      <c r="F2" s="2">
        <f>Calculate!R6</f>
        <v>592130796.9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38.35335057</v>
      </c>
      <c r="R3" s="1">
        <f>I40</f>
        <v>0.005045357338</v>
      </c>
      <c r="S3" s="1">
        <f>I43</f>
        <v>19.03132414</v>
      </c>
      <c r="T3" s="1">
        <f>I42</f>
        <v>0.03424328267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289469.5448</v>
      </c>
      <c r="R6" s="1">
        <f>D41</f>
        <v>592130796.9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392.0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29.4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429.0</v>
      </c>
      <c r="E24" s="3"/>
      <c r="F24" s="3"/>
      <c r="G24" s="3" t="s">
        <v>59</v>
      </c>
      <c r="I24" s="3">
        <f>15000*SQRT(I21*100/9.8)*0.8*9.8/100</f>
        <v>20368.9175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23845.07973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0.4583046553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0.008100879287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0.008100879287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0.01620175857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8487.048957</v>
      </c>
      <c r="E32" s="3"/>
      <c r="F32" s="3"/>
      <c r="G32" s="3" t="s">
        <v>72</v>
      </c>
      <c r="I32" s="3">
        <f>I28*I29*$D$12</f>
        <v>1.45536691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6.351089361</v>
      </c>
      <c r="F33" s="3"/>
      <c r="G33" s="3" t="s">
        <v>74</v>
      </c>
      <c r="I33" s="3">
        <f>I28*I30*D12</f>
        <v>1.45536691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0.04950227585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0.1847086957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1.184708696</v>
      </c>
      <c r="E36" s="3">
        <f>1+D35</f>
        <v>1.184708696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1.603355487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119321.7153</v>
      </c>
      <c r="E38" s="3"/>
      <c r="F38" s="3"/>
      <c r="G38" s="3" t="s">
        <v>84</v>
      </c>
      <c r="I38" s="3">
        <f>1+I36*I34*(0.1+0.9/(1+I37*I34))</f>
        <v>1.304535734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170147.8294</v>
      </c>
      <c r="E39" s="3"/>
      <c r="F39" s="3"/>
      <c r="G39" s="3" t="s">
        <v>0</v>
      </c>
      <c r="I39" s="3">
        <f>I21*I38</f>
        <v>38.35335057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289469.5448</v>
      </c>
      <c r="E40" s="3"/>
      <c r="F40" s="3"/>
      <c r="G40" s="3" t="s">
        <v>1</v>
      </c>
      <c r="I40" s="3">
        <f>I22*(1+5*(I39/I21-1))</f>
        <v>0.005045357338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592130796.9</v>
      </c>
      <c r="E41" s="3"/>
      <c r="F41" s="3"/>
      <c r="G41" s="3" t="s">
        <v>86</v>
      </c>
      <c r="I41" s="3">
        <f>I24/(I24-I39/I40)</f>
        <v>1.59540916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0.03424328267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19.03132414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