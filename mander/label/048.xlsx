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2AAFCDED-D084-41C0-8307-F6DBE2A5087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9e1KdfNwHhZSjFQVtTz0BhZP0uhIn9exOIfoo+qB8ao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7" i="2"/>
  <c r="M15" i="2"/>
  <c r="N15" i="2" s="1"/>
  <c r="M14" i="2"/>
  <c r="N14" i="2" s="1"/>
  <c r="D14" i="2"/>
  <c r="M13" i="2"/>
  <c r="N13" i="2" s="1"/>
  <c r="M12" i="2"/>
  <c r="N12" i="2" s="1"/>
  <c r="I8" i="2"/>
  <c r="J8" i="2" s="1"/>
  <c r="K8" i="2" s="1"/>
  <c r="J7" i="2"/>
  <c r="K7" i="2" s="1"/>
  <c r="I7" i="2"/>
  <c r="J6" i="2"/>
  <c r="K6" i="2" s="1"/>
  <c r="I6" i="2"/>
  <c r="I5" i="2"/>
  <c r="J5" i="2" s="1"/>
  <c r="K5" i="2" s="1"/>
  <c r="I4" i="2"/>
  <c r="J4" i="2" s="1"/>
  <c r="K3" i="2"/>
  <c r="J3" i="2"/>
  <c r="D16" i="2" s="1"/>
  <c r="I3" i="2"/>
  <c r="I29" i="2" l="1"/>
  <c r="K4" i="2"/>
  <c r="D25" i="2" s="1"/>
  <c r="D15" i="2"/>
  <c r="D18" i="2" l="1"/>
  <c r="I27" i="2" s="1"/>
  <c r="D39" i="2"/>
  <c r="I30" i="2"/>
  <c r="I31" i="2" s="1"/>
  <c r="D27" i="2"/>
  <c r="I42" i="2" l="1"/>
  <c r="T3" i="2" s="1"/>
  <c r="D2" i="1" s="1"/>
  <c r="E33" i="2"/>
  <c r="D33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<sst xmlns="http://schemas.openxmlformats.org/spreadsheetml/2006/main" count="109" uniqueCount="86">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</sst>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2924175" cy="30575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34.799825191388727</v>
      </c>
      <c r="B2" s="2">
        <f>Calculate!R3</f>
        <v>4.4730556241536663E-3</v>
      </c>
      <c r="C2" s="2">
        <f>Calculate!S3</f>
        <v>15.806473506891738</v>
      </c>
      <c r="D2" s="2">
        <f>Calculate!T3</f>
        <v>3.1621881400709595E-2</v>
      </c>
      <c r="E2" s="2">
        <f>Calculate!Q6</f>
        <v>203990.4863512236</v>
      </c>
      <c r="F2" s="2">
        <f>Calculate!R6</f>
        <v>465058590.05882269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4" workbookViewId="0">
      <selection activeCell="P18" sqref="P18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34.799825191388727</v>
      </c>
      <c r="R3" s="1">
        <f>I40</f>
        <v>4.4730556241536663E-3</v>
      </c>
      <c r="S3" s="1">
        <f>I43</f>
        <v>15.806473506891738</v>
      </c>
      <c r="T3" s="1">
        <f>I42</f>
        <v>3.1621881400709595E-2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250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35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203990.4863512236</v>
      </c>
      <c r="R6" s="1">
        <f>D41</f>
        <v>465058590.05882269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50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506</v>
      </c>
      <c r="E12" s="3"/>
      <c r="F12" s="3"/>
      <c r="G12" s="3"/>
      <c r="H12" s="3"/>
      <c r="I12" s="12"/>
      <c r="J12" s="12" t="s">
        <v>14</v>
      </c>
      <c r="K12" s="3"/>
      <c r="L12" s="12">
        <v>155.4</v>
      </c>
      <c r="M12" s="13">
        <f t="shared" ref="M12:M19" si="2">L12-VLOOKUP($D$22, $G$3:$K$8, 4, FALSE)</f>
        <v>142.70000000000002</v>
      </c>
      <c r="N12" s="3">
        <f t="shared" ref="N12:N19" si="3">M12^2</f>
        <v>20363.290000000005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226</v>
      </c>
      <c r="M13" s="13">
        <f t="shared" si="2"/>
        <v>213.3</v>
      </c>
      <c r="N13" s="3">
        <f t="shared" si="3"/>
        <v>45496.890000000007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44</v>
      </c>
      <c r="E14" s="3"/>
      <c r="F14" s="3"/>
      <c r="G14" s="3"/>
      <c r="H14" s="3"/>
      <c r="K14" s="3"/>
      <c r="L14" s="12">
        <v>155.4</v>
      </c>
      <c r="M14" s="13">
        <f t="shared" si="2"/>
        <v>142.70000000000002</v>
      </c>
      <c r="N14" s="3">
        <f t="shared" si="3"/>
        <v>20363.290000000005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194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226</v>
      </c>
      <c r="M15" s="13">
        <f t="shared" si="2"/>
        <v>213.3</v>
      </c>
      <c r="N15" s="3">
        <f t="shared" si="3"/>
        <v>45496.890000000007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224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43456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27.9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374</v>
      </c>
      <c r="E24" s="3"/>
      <c r="F24" s="3"/>
      <c r="G24" s="15" t="s">
        <v>58</v>
      </c>
      <c r="H24" s="16"/>
      <c r="I24" s="3">
        <f>15000*SQRT(I21*100/9.8)*0.8*9.8/100</f>
        <v>19842.499842509766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1013.4149581949954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2.332048412635759E-2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1.3512199442599938E-2</v>
      </c>
      <c r="E27" s="3"/>
      <c r="F27" s="3"/>
      <c r="G27" s="15" t="s">
        <v>63</v>
      </c>
      <c r="H27" s="16"/>
      <c r="I27" s="3">
        <f>(D18-SUM(N:N)/6)*(1-D14/2/D16)*(1-D14/2/D15)</f>
        <v>17191.793216740301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0.40505999339594334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5.0489881932693102E-3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5.8297595633625028E-3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1.0878747756631814E-2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8267.7082677124035</v>
      </c>
      <c r="E32" s="3"/>
      <c r="F32" s="3"/>
      <c r="G32" s="15" t="s">
        <v>71</v>
      </c>
      <c r="H32" s="16"/>
      <c r="I32" s="3">
        <f>I28*I29*$D$12</f>
        <v>1.0348424208562625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5.5046463648556978</v>
      </c>
      <c r="F33" s="3"/>
      <c r="G33" s="15" t="s">
        <v>73</v>
      </c>
      <c r="H33" s="16"/>
      <c r="I33" s="3">
        <f>I28*I30*D12</f>
        <v>1.1948695993391898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3.9958996777696286E-2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0.17528478260869565</v>
      </c>
      <c r="E35" s="3"/>
      <c r="F35" s="3"/>
      <c r="G35" s="15" t="s">
        <v>77</v>
      </c>
      <c r="H35" s="16"/>
      <c r="I35" s="3">
        <f>MIN(I32, I33)/MAX(I32, I33)</f>
        <v>0.86607142857142849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1.1752847826086956</v>
      </c>
      <c r="E36" s="3">
        <f>1+D35</f>
        <v>1.1752847826086956</v>
      </c>
      <c r="F36" s="3"/>
      <c r="G36" s="15" t="s">
        <v>79</v>
      </c>
      <c r="H36" s="16"/>
      <c r="I36" s="3">
        <f>6.8886-(0.6069+17.275*I35)*EXP(1)^(-4.989*I35)</f>
        <v>6.6817154961622611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1.5494936317051295</v>
      </c>
      <c r="E37" s="3"/>
      <c r="F37" s="3"/>
      <c r="G37" s="15" t="s">
        <v>81</v>
      </c>
      <c r="H37" s="16"/>
      <c r="I37" s="3">
        <f>4.5/(5/I36*(0.9849-0.6306*EXP(1)^(-3.989*I35))-0.1)-5</f>
        <v>2.2335385770469305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92969.617902307771</v>
      </c>
      <c r="E38" s="3"/>
      <c r="F38" s="3"/>
      <c r="G38" s="15" t="s">
        <v>83</v>
      </c>
      <c r="H38" s="16"/>
      <c r="I38" s="3">
        <f>1+I36*I34*(0.1+0.9/(1+I37*I34))</f>
        <v>1.2473055624153666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111020.86844891585</v>
      </c>
      <c r="E39" s="3"/>
      <c r="F39" s="3"/>
      <c r="G39" s="15" t="s">
        <v>0</v>
      </c>
      <c r="H39" s="16"/>
      <c r="I39" s="3">
        <f>I21*I38</f>
        <v>34.799825191388727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203990.4863512236</v>
      </c>
      <c r="E40" s="3"/>
      <c r="F40" s="3"/>
      <c r="G40" s="15" t="s">
        <v>1</v>
      </c>
      <c r="H40" s="16"/>
      <c r="I40" s="3">
        <f>I22*(1+5*(I39/I21-1))</f>
        <v>4.4730556241536663E-3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465058590.05882269</v>
      </c>
      <c r="E41" s="3"/>
      <c r="F41" s="3"/>
      <c r="G41" s="15" t="s">
        <v>85</v>
      </c>
      <c r="H41" s="16"/>
      <c r="I41" s="3">
        <f>I24/(I24-I39/I40)</f>
        <v>1.6449574081489506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3.1621881400709595E-2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15.806473506891738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2024-05-16T11:14:44Z</dcterms:modified>
</cp:coreProperties>
</file>