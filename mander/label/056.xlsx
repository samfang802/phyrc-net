
<file path=[Content_Types].xml><?xml version="1.0" encoding="utf-8"?>
<Types xmlns="http://schemas.openxmlformats.org/package/2006/content-types">
  <Default ContentType="image/gif" Extension="gif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ord" sheetId="1" r:id="rId4"/>
    <sheet state="visible" name="Calculate" sheetId="2" r:id="rId5"/>
  </sheets>
  <definedNames/>
  <calcPr/>
  <extLst>
    <ext uri="GoogleSheetsCustomDataVersion2">
      <go:sheetsCustomData xmlns:go="http://customooxmlschemas.google.com/" r:id="rId6" roundtripDataChecksum="l0nnyUj5fk1tsxDkvEO7O4tkI3nhSH0JL0XHRwQF/yo="/>
    </ext>
  </extLst>
</workbook>
</file>

<file path=xl/sharedStrings.xml><?xml version="1.0" encoding="utf-8"?>
<sst xmlns="http://schemas.openxmlformats.org/spreadsheetml/2006/main" count="109" uniqueCount="86">
  <si>
    <t>fcc</t>
  </si>
  <si>
    <t>epscc</t>
  </si>
  <si>
    <t>fcu</t>
  </si>
  <si>
    <t>epscu</t>
  </si>
  <si>
    <t>Vn</t>
  </si>
  <si>
    <t>Vst</t>
  </si>
  <si>
    <t>Load is applied along the width axis</t>
  </si>
  <si>
    <t>Rebar</t>
  </si>
  <si>
    <t>Diameter(inch)</t>
  </si>
  <si>
    <t>Diameter(mm)</t>
  </si>
  <si>
    <t>Area(mm^2)</t>
  </si>
  <si>
    <t>Section</t>
  </si>
  <si>
    <t>6mm</t>
  </si>
  <si>
    <t>Width(y)</t>
  </si>
  <si>
    <t>#4</t>
  </si>
  <si>
    <t>D13</t>
  </si>
  <si>
    <t>Depth(z)</t>
  </si>
  <si>
    <t>#5</t>
  </si>
  <si>
    <t>D16</t>
  </si>
  <si>
    <t>Clear cover (y)</t>
  </si>
  <si>
    <t>#6</t>
  </si>
  <si>
    <t>D19</t>
  </si>
  <si>
    <t>Clear cover (z)</t>
  </si>
  <si>
    <t>#7</t>
  </si>
  <si>
    <t>D22</t>
  </si>
  <si>
    <t>#8</t>
  </si>
  <si>
    <t>D25</t>
  </si>
  <si>
    <t>Transverse Reinforcement</t>
  </si>
  <si>
    <t>spacing</t>
  </si>
  <si>
    <t>z reinforcement</t>
  </si>
  <si>
    <t xml:space="preserve"># </t>
  </si>
  <si>
    <t>Type</t>
  </si>
  <si>
    <t>mm-s-N-Mpa</t>
  </si>
  <si>
    <t>Tr. Hoop Rebar</t>
  </si>
  <si>
    <t>w</t>
  </si>
  <si>
    <t>w-db</t>
  </si>
  <si>
    <t>(w-db)^2</t>
  </si>
  <si>
    <t>inches</t>
  </si>
  <si>
    <t>fy Hoop (Mpa)</t>
  </si>
  <si>
    <t>feet</t>
  </si>
  <si>
    <t># of hoop in a bundle</t>
  </si>
  <si>
    <t>ksi</t>
  </si>
  <si>
    <t>Clear distance</t>
  </si>
  <si>
    <t>psi</t>
  </si>
  <si>
    <t>Width (core)</t>
  </si>
  <si>
    <t>y reinforcement</t>
  </si>
  <si>
    <t>kgf/cm2</t>
  </si>
  <si>
    <t>Depth (core)</t>
  </si>
  <si>
    <t>Area in a bundle</t>
  </si>
  <si>
    <t>Area of core</t>
  </si>
  <si>
    <t>Concrete</t>
  </si>
  <si>
    <t>Longitudinal Reinforcement</t>
  </si>
  <si>
    <t>fc (Mpa)</t>
  </si>
  <si>
    <t>Long. Rebar</t>
  </si>
  <si>
    <t>eps0</t>
  </si>
  <si>
    <t># of bars</t>
  </si>
  <si>
    <t>epss</t>
  </si>
  <si>
    <t>fy</t>
  </si>
  <si>
    <t>Ec</t>
  </si>
  <si>
    <t>As</t>
  </si>
  <si>
    <t>rho_cc</t>
  </si>
  <si>
    <t>Mander's Model</t>
  </si>
  <si>
    <t>rho</t>
  </si>
  <si>
    <t>Ae</t>
  </si>
  <si>
    <t>ke</t>
  </si>
  <si>
    <t>rho_tz</t>
  </si>
  <si>
    <t>poisson</t>
  </si>
  <si>
    <t>rho_ty</t>
  </si>
  <si>
    <t>Shear Capacity</t>
  </si>
  <si>
    <t>rho_t</t>
  </si>
  <si>
    <t>G</t>
  </si>
  <si>
    <t>flz</t>
  </si>
  <si>
    <t>rhotfyh</t>
  </si>
  <si>
    <t>fly</t>
  </si>
  <si>
    <t>fv1</t>
  </si>
  <si>
    <t>xfactor</t>
  </si>
  <si>
    <t>ALR</t>
  </si>
  <si>
    <t>rfactor</t>
  </si>
  <si>
    <t>fv2</t>
  </si>
  <si>
    <t>Afactor</t>
  </si>
  <si>
    <t>vc</t>
  </si>
  <si>
    <t>Bfactor</t>
  </si>
  <si>
    <t>Vc</t>
  </si>
  <si>
    <t>Kfactor</t>
  </si>
  <si>
    <t>Vs</t>
  </si>
  <si>
    <t>ecr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</si>
</sst>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_ "/>
    <numFmt numFmtId="165" formatCode="0.00_);[Red]\(0.00\)"/>
  </numFmts>
  <fonts count="6">
    <font>
      <sz val="11.0"/>
      <color theme="1"/>
      <name val="Calibri"/>
      <scheme val="minor"/>
    </font>
    <font>
      <sz val="11.0"/>
      <color theme="1"/>
      <name val="PMingLiu"/>
    </font>
    <font>
      <color theme="1"/>
      <name val="Calibri"/>
      <scheme val="minor"/>
    </font>
    <font>
      <b/>
      <i/>
      <u/>
      <sz val="11.0"/>
      <color theme="1"/>
      <name val="PMingLiu"/>
    </font>
    <font>
      <b/>
      <sz val="11.0"/>
      <color theme="1"/>
      <name val="PMingLiu"/>
    </font>
    <font/>
  </fonts>
  <fills count="3">
    <fill>
      <patternFill patternType="none"/>
    </fill>
    <fill>
      <patternFill patternType="lightGray"/>
    </fill>
    <fill>
      <patternFill patternType="solid">
        <fgColor rgb="FFFFFFCC"/>
        <bgColor rgb="FFFFFFCC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rgb="FF000000"/>
      </left>
    </border>
    <border>
      <top style="thin">
        <color rgb="FF000000"/>
      </top>
    </border>
    <border>
      <right style="thin">
        <color rgb="FFB2B2B2"/>
      </right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0" fillId="0" fontId="2" numFmtId="0" xfId="0" applyFont="1"/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/>
    </xf>
    <xf borderId="2" fillId="0" fontId="1" numFmtId="164" xfId="0" applyAlignment="1" applyBorder="1" applyFont="1" applyNumberFormat="1">
      <alignment horizontal="center"/>
    </xf>
    <xf borderId="1" fillId="0" fontId="1" numFmtId="164" xfId="0" applyAlignment="1" applyBorder="1" applyFont="1" applyNumberFormat="1">
      <alignment horizontal="center"/>
    </xf>
    <xf borderId="0" fillId="0" fontId="4" numFmtId="0" xfId="0" applyAlignment="1" applyFont="1">
      <alignment horizontal="center"/>
    </xf>
    <xf borderId="3" fillId="0" fontId="1" numFmtId="164" xfId="0" applyAlignment="1" applyBorder="1" applyFont="1" applyNumberFormat="1">
      <alignment horizontal="center" readingOrder="0"/>
    </xf>
    <xf borderId="1" fillId="0" fontId="1" numFmtId="164" xfId="0" applyAlignment="1" applyBorder="1" applyFont="1" applyNumberFormat="1">
      <alignment horizontal="center" readingOrder="0"/>
    </xf>
    <xf borderId="4" fillId="2" fontId="1" numFmtId="0" xfId="0" applyAlignment="1" applyBorder="1" applyFill="1" applyFont="1">
      <alignment horizontal="center" readingOrder="0"/>
    </xf>
    <xf borderId="3" fillId="0" fontId="1" numFmtId="164" xfId="0" applyAlignment="1" applyBorder="1" applyFont="1" applyNumberFormat="1">
      <alignment horizontal="center"/>
    </xf>
    <xf borderId="5" fillId="0" fontId="1" numFmtId="0" xfId="0" applyAlignment="1" applyBorder="1" applyFont="1">
      <alignment horizontal="center"/>
    </xf>
    <xf borderId="6" fillId="0" fontId="1" numFmtId="164" xfId="0" applyAlignment="1" applyBorder="1" applyFont="1" applyNumberFormat="1">
      <alignment horizontal="center"/>
    </xf>
    <xf borderId="7" fillId="0" fontId="5" numFmtId="0" xfId="0" applyBorder="1" applyFont="1"/>
    <xf borderId="4" fillId="2" fontId="1" numFmtId="0" xfId="0" applyAlignment="1" applyBorder="1" applyFont="1">
      <alignment horizontal="center"/>
    </xf>
    <xf borderId="0" fillId="0" fontId="1" numFmtId="165" xfId="0" applyAlignment="1" applyFont="1" applyNumberFormat="1">
      <alignment horizontal="center"/>
    </xf>
    <xf borderId="0" fillId="0" fontId="1" numFmtId="164" xfId="0" applyAlignment="1" applyFont="1" applyNumberFormat="1">
      <alignment horizont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</dxfs>
  <tableStyles count="1">
    <tableStyle count="3" pivot="0" name="Calculate-style">
      <tableStyleElement dxfId="1" type="headerRow"/>
      <tableStyleElement dxfId="2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gif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24</xdr:col>
      <xdr:colOff>9525</xdr:colOff>
      <xdr:row>0</xdr:row>
      <xdr:rowOff>0</xdr:rowOff>
    </xdr:from>
    <xdr:ext cx="4181475" cy="4886325"/>
    <xdr:grpSp>
      <xdr:nvGrpSpPr>
        <xdr:cNvPr id="2" name="Shape 2"/>
        <xdr:cNvGrpSpPr/>
      </xdr:nvGrpSpPr>
      <xdr:grpSpPr>
        <a:xfrm>
          <a:off x="3255263" y="1336838"/>
          <a:ext cx="4181475" cy="4886325"/>
          <a:chOff x="3255263" y="1336838"/>
          <a:chExt cx="4181475" cy="4886325"/>
        </a:xfrm>
      </xdr:grpSpPr>
      <xdr:grpSp>
        <xdr:nvGrpSpPr>
          <xdr:cNvPr id="3" name="Shape 3"/>
          <xdr:cNvGrpSpPr/>
        </xdr:nvGrpSpPr>
        <xdr:grpSpPr>
          <a:xfrm>
            <a:off x="3255263" y="1336838"/>
            <a:ext cx="4181475" cy="4886325"/>
            <a:chOff x="16058030" y="112059"/>
            <a:chExt cx="4301218" cy="4695285"/>
          </a:xfrm>
        </xdr:grpSpPr>
        <xdr:sp>
          <xdr:nvSpPr>
            <xdr:cNvPr id="4" name="Shape 4"/>
            <xdr:cNvSpPr/>
          </xdr:nvSpPr>
          <xdr:spPr>
            <a:xfrm>
              <a:off x="16058030" y="112059"/>
              <a:ext cx="4301200" cy="46952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" name="Shape 5"/>
            <xdr:cNvGrpSpPr/>
          </xdr:nvGrpSpPr>
          <xdr:grpSpPr>
            <a:xfrm>
              <a:off x="18433678" y="112059"/>
              <a:ext cx="1925570" cy="4695285"/>
              <a:chOff x="13816854" y="1086971"/>
              <a:chExt cx="1925570" cy="4695285"/>
            </a:xfrm>
          </xdr:grpSpPr>
          <xdr:sp>
            <xdr:nvSpPr>
              <xdr:cNvPr id="6" name="Shape 6"/>
              <xdr:cNvSpPr/>
            </xdr:nvSpPr>
            <xdr:spPr>
              <a:xfrm>
                <a:off x="14186185" y="2520254"/>
                <a:ext cx="1556239" cy="2558562"/>
              </a:xfrm>
              <a:prstGeom prst="rect">
                <a:avLst/>
              </a:prstGeom>
              <a:solidFill>
                <a:schemeClr val="lt1"/>
              </a:solidFill>
              <a:ln cap="flat" cmpd="sng" w="2857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7" name="Shape 7"/>
              <xdr:cNvSpPr txBox="1"/>
            </xdr:nvSpPr>
            <xdr:spPr>
              <a:xfrm rot="-5400000">
                <a:off x="13619844" y="3614868"/>
                <a:ext cx="763351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Width</a:t>
                </a:r>
                <a:endParaRPr sz="1100"/>
              </a:p>
            </xdr:txBody>
          </xdr:sp>
          <xdr:sp>
            <xdr:nvSpPr>
              <xdr:cNvPr id="8" name="Shape 8"/>
              <xdr:cNvSpPr txBox="1"/>
            </xdr:nvSpPr>
            <xdr:spPr>
              <a:xfrm>
                <a:off x="14582628" y="2150922"/>
                <a:ext cx="762325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Depth</a:t>
                </a:r>
                <a:endParaRPr sz="1100"/>
              </a:p>
            </xdr:txBody>
          </xdr:sp>
          <xdr:sp>
            <xdr:nvSpPr>
              <xdr:cNvPr id="9" name="Shape 9"/>
              <xdr:cNvSpPr/>
            </xdr:nvSpPr>
            <xdr:spPr>
              <a:xfrm>
                <a:off x="14757684" y="1557442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0" name="Shape 10"/>
              <xdr:cNvSpPr/>
            </xdr:nvSpPr>
            <xdr:spPr>
              <a:xfrm rot="10800000">
                <a:off x="14783547" y="5281094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1" name="Shape 11"/>
              <xdr:cNvSpPr txBox="1"/>
            </xdr:nvSpPr>
            <xdr:spPr>
              <a:xfrm>
                <a:off x="14619569" y="1086971"/>
                <a:ext cx="636713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Load</a:t>
                </a:r>
                <a:endParaRPr sz="1100"/>
              </a:p>
            </xdr:txBody>
          </xdr:sp>
          <xdr:cxnSp>
            <xdr:nvCxnSpPr>
              <xdr:cNvPr id="12" name="Shape 12"/>
              <xdr:cNvCxnSpPr>
                <a:endCxn id="6" idx="3"/>
              </xdr:cNvCxnSpPr>
            </xdr:nvCxnSpPr>
            <xdr:spPr>
              <a:xfrm>
                <a:off x="14963924" y="3799535"/>
                <a:ext cx="778500" cy="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cxnSp>
            <xdr:nvCxnSpPr>
              <xdr:cNvPr id="13" name="Shape 13"/>
              <xdr:cNvCxnSpPr>
                <a:endCxn id="6" idx="0"/>
              </xdr:cNvCxnSpPr>
            </xdr:nvCxnSpPr>
            <xdr:spPr>
              <a:xfrm flipH="1" rot="10800000">
                <a:off x="14963705" y="2520254"/>
                <a:ext cx="600" cy="127920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sp>
            <xdr:nvSpPr>
              <xdr:cNvPr id="14" name="Shape 14"/>
              <xdr:cNvSpPr txBox="1"/>
            </xdr:nvSpPr>
            <xdr:spPr>
              <a:xfrm>
                <a:off x="14692510" y="2605896"/>
                <a:ext cx="288862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y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  <xdr:sp>
            <xdr:nvSpPr>
              <xdr:cNvPr id="15" name="Shape 15"/>
              <xdr:cNvSpPr txBox="1"/>
            </xdr:nvSpPr>
            <xdr:spPr>
              <a:xfrm>
                <a:off x="15462096" y="3426570"/>
                <a:ext cx="276038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z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</xdr:grpSp>
        <xdr:sp>
          <xdr:nvSpPr>
            <xdr:cNvPr id="16" name="Shape 16"/>
            <xdr:cNvSpPr/>
          </xdr:nvSpPr>
          <xdr:spPr>
            <a:xfrm>
              <a:off x="16410039" y="2123273"/>
              <a:ext cx="1802422" cy="1336431"/>
            </a:xfrm>
            <a:prstGeom prst="rect">
              <a:avLst/>
            </a:prstGeom>
            <a:solidFill>
              <a:schemeClr val="lt1"/>
            </a:solidFill>
            <a:ln cap="flat" cmpd="sng" w="28575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17" name="Shape 17"/>
            <xdr:cNvSpPr txBox="1"/>
          </xdr:nvSpPr>
          <xdr:spPr>
            <a:xfrm rot="-5400000">
              <a:off x="15861020" y="2598794"/>
              <a:ext cx="763351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Width</a:t>
              </a:r>
              <a:endParaRPr sz="1100"/>
            </a:p>
          </xdr:txBody>
        </xdr:sp>
        <xdr:sp>
          <xdr:nvSpPr>
            <xdr:cNvPr id="18" name="Shape 18"/>
            <xdr:cNvSpPr txBox="1"/>
          </xdr:nvSpPr>
          <xdr:spPr>
            <a:xfrm>
              <a:off x="16955434" y="1736303"/>
              <a:ext cx="762325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Depth</a:t>
              </a:r>
              <a:endParaRPr sz="1100"/>
            </a:p>
          </xdr:txBody>
        </xdr:sp>
        <xdr:sp>
          <xdr:nvSpPr>
            <xdr:cNvPr id="19" name="Shape 19"/>
            <xdr:cNvSpPr/>
          </xdr:nvSpPr>
          <xdr:spPr>
            <a:xfrm>
              <a:off x="17130490" y="1142823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0" name="Shape 20"/>
            <xdr:cNvSpPr/>
          </xdr:nvSpPr>
          <xdr:spPr>
            <a:xfrm rot="10800000">
              <a:off x="17130491" y="3574002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1" name="Shape 21"/>
            <xdr:cNvSpPr txBox="1"/>
          </xdr:nvSpPr>
          <xdr:spPr>
            <a:xfrm>
              <a:off x="16992375" y="672352"/>
              <a:ext cx="636713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Load</a:t>
              </a:r>
              <a:endParaRPr sz="1100"/>
            </a:p>
          </xdr:txBody>
        </xdr:sp>
        <xdr:cxnSp>
          <xdr:nvCxnSpPr>
            <xdr:cNvPr id="22" name="Shape 22"/>
            <xdr:cNvCxnSpPr>
              <a:endCxn id="16" idx="3"/>
            </xdr:cNvCxnSpPr>
          </xdr:nvCxnSpPr>
          <xdr:spPr>
            <a:xfrm>
              <a:off x="17310661" y="2786989"/>
              <a:ext cx="901800" cy="45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cxnSp>
          <xdr:nvCxnSpPr>
            <xdr:cNvPr id="23" name="Shape 23"/>
            <xdr:cNvCxnSpPr>
              <a:endCxn id="16" idx="0"/>
            </xdr:cNvCxnSpPr>
          </xdr:nvCxnSpPr>
          <xdr:spPr>
            <a:xfrm flipH="1" rot="10800000">
              <a:off x="17310650" y="2123273"/>
              <a:ext cx="600" cy="6639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sp>
          <xdr:nvSpPr>
            <xdr:cNvPr id="24" name="Shape 24"/>
            <xdr:cNvSpPr txBox="1"/>
          </xdr:nvSpPr>
          <xdr:spPr>
            <a:xfrm>
              <a:off x="17021872" y="2110031"/>
              <a:ext cx="288862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y</a:t>
              </a:r>
              <a:endParaRPr sz="1100">
                <a:solidFill>
                  <a:srgbClr val="FF0000"/>
                </a:solidFill>
              </a:endParaRPr>
            </a:p>
          </xdr:txBody>
        </xdr:sp>
        <xdr:sp>
          <xdr:nvSpPr>
            <xdr:cNvPr id="25" name="Shape 25"/>
            <xdr:cNvSpPr txBox="1"/>
          </xdr:nvSpPr>
          <xdr:spPr>
            <a:xfrm>
              <a:off x="17809041" y="2414129"/>
              <a:ext cx="276038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z</a:t>
              </a:r>
              <a:endParaRPr sz="1100">
                <a:solidFill>
                  <a:srgbClr val="FF0000"/>
                </a:solidFill>
              </a:endParaRPr>
            </a:p>
          </xdr:txBody>
        </xdr:sp>
      </xdr:grpSp>
    </xdr:grpSp>
    <xdr:clientData fLocksWithSheet="0"/>
  </xdr:oneCellAnchor>
  <xdr:oneCellAnchor>
    <xdr:from>
      <xdr:col>3</xdr:col>
      <xdr:colOff>219075</xdr:colOff>
      <xdr:row>27</xdr:row>
      <xdr:rowOff>114300</xdr:rowOff>
    </xdr:from>
    <xdr:ext cx="2143125" cy="552450"/>
    <xdr:pic>
      <xdr:nvPicPr>
        <xdr:cNvPr descr="Applied Mechanics of Solids (A.F. Bower) Chapter 3: Constitutive laws - 3.2  Linear Elasticity"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24</xdr:row>
      <xdr:rowOff>0</xdr:rowOff>
    </xdr:from>
    <xdr:ext cx="2705100" cy="2447925"/>
    <xdr:pic>
      <xdr:nvPicPr>
        <xdr:cNvPr id="0" name="image2.png" title="圖片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ref="G2:G8" displayName="Table_1" id="1">
  <tableColumns count="1">
    <tableColumn name="Rebar" id="1"/>
  </tableColumns>
  <tableStyleInfo name="Calculat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75" customHeight="1">
      <c r="A2" s="2">
        <f>Calculate!Q3</f>
        <v>115.9926809</v>
      </c>
      <c r="B2" s="2">
        <f>Calculate!R3</f>
        <v>0.005534735224</v>
      </c>
      <c r="C2" s="2">
        <f>Calculate!S3</f>
        <v>30.95328832</v>
      </c>
      <c r="D2" s="2">
        <f>Calculate!T3</f>
        <v>0.02369935557</v>
      </c>
      <c r="E2" s="2">
        <f>Calculate!Q6</f>
        <v>284525.4561</v>
      </c>
      <c r="F2" s="2">
        <f>Calculate!R6</f>
        <v>434705072.4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9.14"/>
    <col customWidth="1" min="3" max="3" width="13.57"/>
    <col customWidth="1" min="4" max="4" width="15.86"/>
    <col customWidth="1" min="5" max="6" width="9.14"/>
    <col customWidth="1" min="7" max="7" width="11.14"/>
    <col customWidth="1" min="8" max="8" width="11.43"/>
    <col customWidth="1" min="9" max="9" width="14.43"/>
    <col customWidth="1" min="10" max="10" width="14.14"/>
    <col customWidth="1" min="11" max="11" width="13.0"/>
    <col customWidth="1" min="12" max="12" width="4.71"/>
    <col customWidth="1" min="13" max="13" width="8.57"/>
    <col customWidth="1" min="14" max="14" width="9.29"/>
    <col customWidth="1" min="15" max="17" width="9.14"/>
    <col customWidth="1" min="18" max="18" width="12.29"/>
    <col customWidth="1" min="19" max="20" width="9.14"/>
    <col customWidth="1" min="21" max="32" width="8.71"/>
  </cols>
  <sheetData>
    <row r="1" ht="15.75" customHeight="1">
      <c r="A1" s="3"/>
      <c r="B1" s="4" t="s">
        <v>6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ht="15.75" customHeight="1">
      <c r="A2" s="3"/>
      <c r="B2" s="3"/>
      <c r="C2" s="3"/>
      <c r="D2" s="3"/>
      <c r="E2" s="3"/>
      <c r="F2" s="3"/>
      <c r="G2" s="5" t="s">
        <v>7</v>
      </c>
      <c r="H2" s="6"/>
      <c r="I2" s="6" t="s">
        <v>8</v>
      </c>
      <c r="J2" s="6" t="s">
        <v>9</v>
      </c>
      <c r="K2" s="1" t="s">
        <v>10</v>
      </c>
      <c r="L2" s="3"/>
      <c r="M2" s="3"/>
      <c r="N2" s="3"/>
      <c r="O2" s="3"/>
      <c r="P2" s="3"/>
      <c r="Q2" s="1" t="s">
        <v>0</v>
      </c>
      <c r="R2" s="1" t="s">
        <v>1</v>
      </c>
      <c r="S2" s="1" t="s">
        <v>2</v>
      </c>
      <c r="T2" s="1" t="s">
        <v>3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ht="15.75" customHeight="1">
      <c r="A3" s="3"/>
      <c r="B3" s="7" t="s">
        <v>11</v>
      </c>
      <c r="E3" s="3"/>
      <c r="F3" s="3"/>
      <c r="G3" s="8" t="s">
        <v>12</v>
      </c>
      <c r="H3" s="9" t="s">
        <v>12</v>
      </c>
      <c r="I3" s="6">
        <f>6/25.4</f>
        <v>0.2362204724</v>
      </c>
      <c r="J3" s="6">
        <f>6</f>
        <v>6</v>
      </c>
      <c r="K3" s="1">
        <f t="shared" ref="K3:K8" si="1">PI()*J3^2/4</f>
        <v>28.27433388</v>
      </c>
      <c r="L3" s="3"/>
      <c r="M3" s="3"/>
      <c r="N3" s="3"/>
      <c r="O3" s="3"/>
      <c r="P3" s="3"/>
      <c r="Q3" s="1">
        <f>I39</f>
        <v>115.9926809</v>
      </c>
      <c r="R3" s="1">
        <f>I40</f>
        <v>0.005534735224</v>
      </c>
      <c r="S3" s="1">
        <f>I43</f>
        <v>30.95328832</v>
      </c>
      <c r="T3" s="1">
        <f>I42</f>
        <v>0.02369935557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ht="15.75" customHeight="1">
      <c r="A4" s="3"/>
      <c r="B4" s="3" t="s">
        <v>13</v>
      </c>
      <c r="D4" s="10">
        <v>200.0</v>
      </c>
      <c r="E4" s="3"/>
      <c r="F4" s="3"/>
      <c r="G4" s="11" t="s">
        <v>14</v>
      </c>
      <c r="H4" s="6" t="s">
        <v>15</v>
      </c>
      <c r="I4" s="6">
        <f>4/8</f>
        <v>0.5</v>
      </c>
      <c r="J4" s="6">
        <f t="shared" ref="J4:J8" si="2">I4*25.4</f>
        <v>12.7</v>
      </c>
      <c r="K4" s="1">
        <f t="shared" si="1"/>
        <v>126.6768698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ht="15.75" customHeight="1">
      <c r="A5" s="3"/>
      <c r="B5" s="3" t="s">
        <v>16</v>
      </c>
      <c r="D5" s="10">
        <v>200.0</v>
      </c>
      <c r="E5" s="3"/>
      <c r="F5" s="3"/>
      <c r="G5" s="11" t="s">
        <v>17</v>
      </c>
      <c r="H5" s="6" t="s">
        <v>18</v>
      </c>
      <c r="I5" s="6">
        <f>5/8</f>
        <v>0.625</v>
      </c>
      <c r="J5" s="6">
        <f t="shared" si="2"/>
        <v>15.875</v>
      </c>
      <c r="K5" s="1">
        <f t="shared" si="1"/>
        <v>197.932609</v>
      </c>
      <c r="L5" s="3"/>
      <c r="M5" s="3"/>
      <c r="N5" s="3"/>
      <c r="O5" s="3"/>
      <c r="P5" s="3"/>
      <c r="Q5" s="1" t="s">
        <v>4</v>
      </c>
      <c r="R5" s="1" t="s">
        <v>5</v>
      </c>
      <c r="S5" s="12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ht="15.75" customHeight="1">
      <c r="A6" s="3"/>
      <c r="B6" s="3" t="s">
        <v>19</v>
      </c>
      <c r="D6" s="10">
        <v>9.0</v>
      </c>
      <c r="E6" s="3"/>
      <c r="F6" s="3"/>
      <c r="G6" s="11" t="s">
        <v>20</v>
      </c>
      <c r="H6" s="6" t="s">
        <v>21</v>
      </c>
      <c r="I6" s="6">
        <f>6/8</f>
        <v>0.75</v>
      </c>
      <c r="J6" s="6">
        <f t="shared" si="2"/>
        <v>19.05</v>
      </c>
      <c r="K6" s="1">
        <f t="shared" si="1"/>
        <v>285.022957</v>
      </c>
      <c r="L6" s="3"/>
      <c r="M6" s="3"/>
      <c r="N6" s="3"/>
      <c r="O6" s="3"/>
      <c r="P6" s="3"/>
      <c r="Q6" s="1">
        <f>D40</f>
        <v>284525.4561</v>
      </c>
      <c r="R6" s="1">
        <f>D41</f>
        <v>434705072.4</v>
      </c>
      <c r="S6" s="12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ht="15.75" customHeight="1">
      <c r="A7" s="3"/>
      <c r="B7" s="3" t="s">
        <v>22</v>
      </c>
      <c r="D7" s="10">
        <v>9.0</v>
      </c>
      <c r="E7" s="3"/>
      <c r="F7" s="3"/>
      <c r="G7" s="11" t="s">
        <v>23</v>
      </c>
      <c r="H7" s="6" t="s">
        <v>24</v>
      </c>
      <c r="I7" s="6">
        <f>7/8</f>
        <v>0.875</v>
      </c>
      <c r="J7" s="6">
        <f t="shared" si="2"/>
        <v>22.225</v>
      </c>
      <c r="K7" s="1">
        <f t="shared" si="1"/>
        <v>387.9479137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ht="15.75" customHeight="1">
      <c r="A8" s="3"/>
      <c r="E8" s="3"/>
      <c r="F8" s="3"/>
      <c r="G8" s="13" t="s">
        <v>25</v>
      </c>
      <c r="H8" s="6" t="s">
        <v>26</v>
      </c>
      <c r="I8" s="6">
        <f>8/8</f>
        <v>1</v>
      </c>
      <c r="J8" s="6">
        <f t="shared" si="2"/>
        <v>25.4</v>
      </c>
      <c r="K8" s="1">
        <f t="shared" si="1"/>
        <v>506.7074791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ht="15.75" customHeight="1">
      <c r="A9" s="3"/>
      <c r="B9" s="7" t="s">
        <v>27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ht="15.75" customHeight="1">
      <c r="A10" s="3"/>
      <c r="B10" s="3" t="s">
        <v>28</v>
      </c>
      <c r="C10" s="14"/>
      <c r="D10" s="10">
        <v>35.0</v>
      </c>
      <c r="E10" s="3"/>
      <c r="F10" s="3"/>
      <c r="G10" s="3" t="s">
        <v>29</v>
      </c>
      <c r="I10" s="3" t="s">
        <v>30</v>
      </c>
      <c r="J10" s="3" t="s">
        <v>31</v>
      </c>
      <c r="K10" s="3"/>
      <c r="L10" s="3"/>
      <c r="M10" s="3"/>
      <c r="N10" s="3"/>
      <c r="O10" s="3"/>
      <c r="P10" s="3"/>
      <c r="Q10" s="3" t="s">
        <v>32</v>
      </c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ht="15.75" customHeight="1">
      <c r="B11" s="3" t="s">
        <v>33</v>
      </c>
      <c r="C11" s="14"/>
      <c r="D11" s="10" t="s">
        <v>12</v>
      </c>
      <c r="E11" s="3"/>
      <c r="F11" s="3"/>
      <c r="G11" s="3"/>
      <c r="H11" s="3"/>
      <c r="I11" s="10">
        <v>4.0</v>
      </c>
      <c r="J11" s="10" t="s">
        <v>12</v>
      </c>
      <c r="K11" s="3"/>
      <c r="L11" s="3" t="s">
        <v>34</v>
      </c>
      <c r="M11" s="3" t="s">
        <v>35</v>
      </c>
      <c r="N11" s="3" t="s">
        <v>36</v>
      </c>
      <c r="O11" s="3"/>
      <c r="P11" s="3"/>
      <c r="Q11" s="3" t="s">
        <v>37</v>
      </c>
      <c r="R11" s="3">
        <v>25.4</v>
      </c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ht="15.75" customHeight="1">
      <c r="A12" s="3"/>
      <c r="B12" s="3" t="s">
        <v>38</v>
      </c>
      <c r="C12" s="14"/>
      <c r="D12" s="10">
        <v>328.4</v>
      </c>
      <c r="E12" s="3"/>
      <c r="F12" s="3"/>
      <c r="G12" s="3"/>
      <c r="H12" s="3"/>
      <c r="I12" s="15"/>
      <c r="J12" s="15" t="s">
        <v>14</v>
      </c>
      <c r="K12" s="3"/>
      <c r="L12" s="10">
        <v>53.0</v>
      </c>
      <c r="M12" s="16">
        <f t="shared" ref="M12:M23" si="3">L12-VLOOKUP($D$22, $G$3:$K$8, 4, FALSE)</f>
        <v>40.3</v>
      </c>
      <c r="N12" s="3">
        <f t="shared" ref="N12:N23" si="4">M12^2</f>
        <v>1624.09</v>
      </c>
      <c r="O12" s="3"/>
      <c r="P12" s="3"/>
      <c r="Q12" s="3" t="s">
        <v>39</v>
      </c>
      <c r="R12" s="3">
        <v>304.8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ht="15.75" customHeight="1">
      <c r="A13" s="3"/>
      <c r="B13" s="3" t="s">
        <v>40</v>
      </c>
      <c r="C13" s="14"/>
      <c r="D13" s="10">
        <v>2.0</v>
      </c>
      <c r="E13" s="3"/>
      <c r="F13" s="3"/>
      <c r="G13" s="3"/>
      <c r="H13" s="3"/>
      <c r="I13" s="15"/>
      <c r="J13" s="15" t="s">
        <v>17</v>
      </c>
      <c r="K13" s="3"/>
      <c r="L13" s="10">
        <v>48.0</v>
      </c>
      <c r="M13" s="16">
        <f t="shared" si="3"/>
        <v>35.3</v>
      </c>
      <c r="N13" s="3">
        <f t="shared" si="4"/>
        <v>1246.09</v>
      </c>
      <c r="O13" s="3"/>
      <c r="P13" s="3"/>
      <c r="Q13" s="3" t="s">
        <v>41</v>
      </c>
      <c r="R13" s="3">
        <v>6.89475908677537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ht="15.75" customHeight="1">
      <c r="A14" s="3"/>
      <c r="B14" s="3" t="s">
        <v>42</v>
      </c>
      <c r="D14" s="3">
        <f>D10-D13*VLOOKUP(D11,G3:K8,4,FALSE)</f>
        <v>23</v>
      </c>
      <c r="E14" s="3"/>
      <c r="F14" s="3"/>
      <c r="G14" s="3"/>
      <c r="H14" s="3"/>
      <c r="K14" s="3"/>
      <c r="L14" s="10">
        <v>53.0</v>
      </c>
      <c r="M14" s="16">
        <f t="shared" si="3"/>
        <v>40.3</v>
      </c>
      <c r="N14" s="3">
        <f t="shared" si="4"/>
        <v>1624.09</v>
      </c>
      <c r="O14" s="3"/>
      <c r="P14" s="3"/>
      <c r="Q14" s="3" t="s">
        <v>43</v>
      </c>
      <c r="R14" s="3">
        <v>0.0068947573</v>
      </c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ht="15.75" customHeight="1">
      <c r="A15" s="3"/>
      <c r="B15" s="3" t="s">
        <v>44</v>
      </c>
      <c r="D15" s="17">
        <f>D4-2*D7-VLOOKUP(D11, G3:K8, 4,FALSE )</f>
        <v>176</v>
      </c>
      <c r="E15" s="3"/>
      <c r="F15" s="3"/>
      <c r="G15" s="3" t="s">
        <v>45</v>
      </c>
      <c r="I15" s="3" t="s">
        <v>30</v>
      </c>
      <c r="J15" s="3" t="s">
        <v>31</v>
      </c>
      <c r="K15" s="3"/>
      <c r="L15" s="10">
        <v>53.0</v>
      </c>
      <c r="M15" s="16">
        <f t="shared" si="3"/>
        <v>40.3</v>
      </c>
      <c r="N15" s="3">
        <f t="shared" si="4"/>
        <v>1624.09</v>
      </c>
      <c r="O15" s="3"/>
      <c r="P15" s="3"/>
      <c r="Q15" s="3" t="s">
        <v>46</v>
      </c>
      <c r="R15" s="3">
        <v>0.09807</v>
      </c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 ht="15.75" customHeight="1">
      <c r="A16" s="3"/>
      <c r="B16" s="3" t="s">
        <v>47</v>
      </c>
      <c r="D16" s="17">
        <f>D5-2*D6-VLOOKUP(D11, G3:K8, 4,FALSE )</f>
        <v>176</v>
      </c>
      <c r="E16" s="3"/>
      <c r="F16" s="3"/>
      <c r="G16" s="3"/>
      <c r="H16" s="3"/>
      <c r="I16" s="10">
        <v>4.0</v>
      </c>
      <c r="J16" s="10" t="s">
        <v>12</v>
      </c>
      <c r="K16" s="3"/>
      <c r="L16" s="10">
        <v>48.0</v>
      </c>
      <c r="M16" s="16">
        <f t="shared" si="3"/>
        <v>35.3</v>
      </c>
      <c r="N16" s="3">
        <f t="shared" si="4"/>
        <v>1246.09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ht="15.75" customHeight="1">
      <c r="A17" s="3"/>
      <c r="B17" s="3" t="s">
        <v>48</v>
      </c>
      <c r="D17" s="3">
        <f>D13*VLOOKUP(D11,G3:K8,5,FALSE)</f>
        <v>56.54866776</v>
      </c>
      <c r="E17" s="3"/>
      <c r="F17" s="3"/>
      <c r="G17" s="3"/>
      <c r="H17" s="3"/>
      <c r="I17" s="15"/>
      <c r="J17" s="15" t="s">
        <v>14</v>
      </c>
      <c r="K17" s="3"/>
      <c r="L17" s="10">
        <v>53.0</v>
      </c>
      <c r="M17" s="16">
        <f t="shared" si="3"/>
        <v>40.3</v>
      </c>
      <c r="N17" s="3">
        <f t="shared" si="4"/>
        <v>1624.09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ht="15.75" customHeight="1">
      <c r="A18" s="3"/>
      <c r="B18" s="3" t="s">
        <v>49</v>
      </c>
      <c r="D18" s="3">
        <f>D15*D16</f>
        <v>30976</v>
      </c>
      <c r="E18" s="3"/>
      <c r="F18" s="3"/>
      <c r="G18" s="3"/>
      <c r="H18" s="3"/>
      <c r="I18" s="15"/>
      <c r="J18" s="15" t="s">
        <v>17</v>
      </c>
      <c r="K18" s="3"/>
      <c r="L18" s="10">
        <v>53.0</v>
      </c>
      <c r="M18" s="16">
        <f t="shared" si="3"/>
        <v>40.3</v>
      </c>
      <c r="N18" s="3">
        <f t="shared" si="4"/>
        <v>1624.09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10">
        <v>48.0</v>
      </c>
      <c r="M19" s="16">
        <f t="shared" si="3"/>
        <v>35.3</v>
      </c>
      <c r="N19" s="3">
        <f t="shared" si="4"/>
        <v>1246.09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ht="15.75" customHeight="1">
      <c r="A20" s="3"/>
      <c r="B20" s="3"/>
      <c r="C20" s="3"/>
      <c r="D20" s="3"/>
      <c r="E20" s="3"/>
      <c r="F20" s="3"/>
      <c r="G20" s="7" t="s">
        <v>50</v>
      </c>
      <c r="J20" s="3"/>
      <c r="K20" s="3"/>
      <c r="L20" s="10">
        <v>53.0</v>
      </c>
      <c r="M20" s="16">
        <f t="shared" si="3"/>
        <v>40.3</v>
      </c>
      <c r="N20" s="3">
        <f t="shared" si="4"/>
        <v>1624.09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 ht="15.75" customHeight="1">
      <c r="A21" s="3"/>
      <c r="B21" s="7" t="s">
        <v>51</v>
      </c>
      <c r="E21" s="3"/>
      <c r="F21" s="3"/>
      <c r="G21" s="3" t="s">
        <v>52</v>
      </c>
      <c r="I21" s="10">
        <v>85.7</v>
      </c>
      <c r="J21" s="3"/>
      <c r="K21" s="3"/>
      <c r="L21" s="10">
        <v>53.0</v>
      </c>
      <c r="M21" s="16">
        <f t="shared" si="3"/>
        <v>40.3</v>
      </c>
      <c r="N21" s="3">
        <f t="shared" si="4"/>
        <v>1624.09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</row>
    <row r="22" ht="15.75" customHeight="1">
      <c r="A22" s="3"/>
      <c r="B22" s="3" t="s">
        <v>53</v>
      </c>
      <c r="C22" s="14"/>
      <c r="D22" s="10" t="s">
        <v>14</v>
      </c>
      <c r="E22" s="3"/>
      <c r="F22" s="3"/>
      <c r="G22" s="3" t="s">
        <v>54</v>
      </c>
      <c r="I22" s="3">
        <v>0.002</v>
      </c>
      <c r="J22" s="3"/>
      <c r="K22" s="3"/>
      <c r="L22" s="10">
        <v>48.0</v>
      </c>
      <c r="M22" s="16">
        <f t="shared" si="3"/>
        <v>35.3</v>
      </c>
      <c r="N22" s="3">
        <f t="shared" si="4"/>
        <v>1246.09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 ht="15.75" customHeight="1">
      <c r="A23" s="3"/>
      <c r="B23" s="3" t="s">
        <v>55</v>
      </c>
      <c r="D23" s="10">
        <v>12.0</v>
      </c>
      <c r="E23" s="3"/>
      <c r="F23" s="3"/>
      <c r="G23" s="3" t="s">
        <v>56</v>
      </c>
      <c r="I23" s="3">
        <v>0.005</v>
      </c>
      <c r="J23" s="3"/>
      <c r="K23" s="3"/>
      <c r="L23" s="10">
        <v>53.0</v>
      </c>
      <c r="M23" s="16">
        <f t="shared" si="3"/>
        <v>40.3</v>
      </c>
      <c r="N23" s="3">
        <f t="shared" si="4"/>
        <v>1624.09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</row>
    <row r="24" ht="15.75" customHeight="1">
      <c r="A24" s="3"/>
      <c r="B24" s="3" t="s">
        <v>57</v>
      </c>
      <c r="C24" s="14"/>
      <c r="D24" s="10">
        <v>399.6</v>
      </c>
      <c r="E24" s="3"/>
      <c r="F24" s="3"/>
      <c r="G24" s="3" t="s">
        <v>58</v>
      </c>
      <c r="I24" s="3">
        <f>15000*SQRT(I21*100/9.8)*0.8*9.8/100</f>
        <v>34776.40579</v>
      </c>
      <c r="J24" s="3"/>
      <c r="K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 ht="15.75" customHeight="1">
      <c r="A25" s="3"/>
      <c r="B25" s="3" t="s">
        <v>59</v>
      </c>
      <c r="D25" s="3">
        <f>D23*VLOOKUP(D22, G3:K8, 5,FALSE  )</f>
        <v>1520.122437</v>
      </c>
      <c r="E25" s="3"/>
      <c r="F25" s="3"/>
      <c r="G25" s="3"/>
      <c r="H25" s="3"/>
      <c r="I25" s="3"/>
      <c r="J25" s="3"/>
      <c r="K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 ht="15.75" customHeight="1">
      <c r="A26" s="3"/>
      <c r="B26" s="3" t="s">
        <v>60</v>
      </c>
      <c r="D26" s="3">
        <f>D25/D18</f>
        <v>0.04907420058</v>
      </c>
      <c r="E26" s="3"/>
      <c r="F26" s="3"/>
      <c r="G26" s="7" t="s">
        <v>61</v>
      </c>
      <c r="J26" s="3"/>
      <c r="K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 ht="15.75" customHeight="1">
      <c r="A27" s="3"/>
      <c r="B27" s="3" t="s">
        <v>62</v>
      </c>
      <c r="D27" s="3">
        <f>D25/D4/D5</f>
        <v>0.03800306093</v>
      </c>
      <c r="E27" s="3"/>
      <c r="F27" s="3"/>
      <c r="G27" s="3" t="s">
        <v>63</v>
      </c>
      <c r="I27" s="3">
        <f>(D18-SUM(N:N)/6)*(1-D14/2/D16)*(1-D14/2/D15)</f>
        <v>24442.82426</v>
      </c>
      <c r="J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 ht="15.75" customHeight="1">
      <c r="A28" s="3"/>
      <c r="B28" s="3"/>
      <c r="C28" s="3"/>
      <c r="D28" s="3"/>
      <c r="E28" s="3"/>
      <c r="F28" s="3"/>
      <c r="G28" s="3" t="s">
        <v>64</v>
      </c>
      <c r="I28" s="3">
        <f>I27/(1-D26)/D18</f>
        <v>0.8298114427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 ht="15.75" customHeight="1">
      <c r="A29" s="3"/>
      <c r="B29" s="3"/>
      <c r="C29" s="3"/>
      <c r="D29" s="3"/>
      <c r="E29" s="3"/>
      <c r="F29" s="3"/>
      <c r="G29" s="3" t="s">
        <v>65</v>
      </c>
      <c r="I29" s="3">
        <f>(I11*VLOOKUP(J11, G3:K8, 5, FALSE) + I12*VLOOKUP(J12, G3:K8, 5, FALSE) + I13*VLOOKUP(J13, G3:K8, 5, FALSE))/D16/D10</f>
        <v>0.01835995707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0" ht="15.75" customHeight="1">
      <c r="A30" s="3"/>
      <c r="B30" s="3" t="s">
        <v>66</v>
      </c>
      <c r="C30" s="3">
        <v>0.2</v>
      </c>
      <c r="D30" s="3"/>
      <c r="E30" s="3"/>
      <c r="F30" s="3"/>
      <c r="G30" s="3" t="s">
        <v>67</v>
      </c>
      <c r="I30" s="3">
        <f>(I16*VLOOKUP(J16, G3:K8, 5, FALSE) + I17*VLOOKUP(J17, G3:K8, 5, FALSE)+ I18*VLOOKUP(J18, G3:K8, 5, FALSE))/D15/D10</f>
        <v>0.01835995707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</row>
    <row r="31" ht="15.75" customHeight="1">
      <c r="A31" s="3"/>
      <c r="B31" s="7" t="s">
        <v>68</v>
      </c>
      <c r="E31" s="3"/>
      <c r="F31" s="3"/>
      <c r="G31" s="3" t="s">
        <v>69</v>
      </c>
      <c r="I31" s="3">
        <f>I29+I30</f>
        <v>0.03671991413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</row>
    <row r="32" ht="15.75" customHeight="1">
      <c r="A32" s="3"/>
      <c r="B32" s="3" t="s">
        <v>70</v>
      </c>
      <c r="D32" s="3">
        <f>I24/(2*(1+C30))</f>
        <v>14490.16908</v>
      </c>
      <c r="E32" s="3"/>
      <c r="F32" s="3"/>
      <c r="G32" s="3" t="s">
        <v>71</v>
      </c>
      <c r="I32" s="3">
        <f>I28*I29*$D$12</f>
        <v>5.003273328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</row>
    <row r="33" ht="15.75" customHeight="1">
      <c r="A33" s="3"/>
      <c r="B33" s="3" t="s">
        <v>72</v>
      </c>
      <c r="D33" s="3">
        <f>IF(I31*D12&gt;2.42, 2.42, I31*D12)</f>
        <v>2.42</v>
      </c>
      <c r="E33" s="3">
        <f>D12*I31</f>
        <v>12.0588198</v>
      </c>
      <c r="F33" s="3"/>
      <c r="G33" s="3" t="s">
        <v>73</v>
      </c>
      <c r="I33" s="3">
        <f>I28*I30*D12</f>
        <v>5.003273328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</row>
    <row r="34" ht="15.75" customHeight="1">
      <c r="A34" s="3"/>
      <c r="B34" s="3" t="s">
        <v>74</v>
      </c>
      <c r="D34" s="3">
        <f>IF(D33/12.5+0.305-0.083*3&lt;0.0025, 0.0025, IF(D33/12.5+0.305-0.083*3&gt;0.25, 0.25, D33/12.5+0.305-0.083*3))</f>
        <v>0.2496</v>
      </c>
      <c r="E34" s="3">
        <f>D33/12.5+0.305-0.083*3</f>
        <v>0.2496</v>
      </c>
      <c r="F34" s="3"/>
      <c r="G34" s="3" t="s">
        <v>75</v>
      </c>
      <c r="I34" s="3">
        <f>(I32+I33)/2/I21</f>
        <v>0.05838125237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</row>
    <row r="35" ht="15.75" customHeight="1">
      <c r="A35" s="3"/>
      <c r="B35" s="3" t="s">
        <v>76</v>
      </c>
      <c r="D35" s="3">
        <f>0.0867*(D4*D5)*I21/13.8/(D4*D5)</f>
        <v>0.5384195652</v>
      </c>
      <c r="E35" s="3"/>
      <c r="F35" s="3"/>
      <c r="G35" s="3" t="s">
        <v>77</v>
      </c>
      <c r="I35" s="3">
        <f>MIN(I32, I33)/MAX(I32, I33)</f>
        <v>1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</row>
    <row r="36" ht="15.75" customHeight="1">
      <c r="A36" s="3"/>
      <c r="B36" s="3" t="s">
        <v>78</v>
      </c>
      <c r="D36" s="3">
        <f>IF(1+D35&gt;1.5, 1.5, 1+D35)</f>
        <v>1.5</v>
      </c>
      <c r="E36" s="3">
        <f>1+D35</f>
        <v>1.538419565</v>
      </c>
      <c r="F36" s="3"/>
      <c r="G36" s="3" t="s">
        <v>79</v>
      </c>
      <c r="I36" s="3">
        <f>6.8886-(0.6069+17.275*I35)*EXP(1)^(-4.989*I35)</f>
        <v>6.766780029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</row>
    <row r="37" ht="15.75" customHeight="1">
      <c r="A37" s="3"/>
      <c r="B37" s="3" t="s">
        <v>80</v>
      </c>
      <c r="D37" s="3">
        <f>IF(D34*D36*SQRT(I21)&gt;0.33*SQRT(I21), 0.33*SQRT(I21), D34*D36*SQRT(I21))</f>
        <v>3.054951718</v>
      </c>
      <c r="E37" s="3"/>
      <c r="F37" s="3"/>
      <c r="G37" s="3" t="s">
        <v>81</v>
      </c>
      <c r="I37" s="3">
        <f>4.5/(5/I36*(0.9849-0.6306*EXP(1)^(-3.989*I35))-0.1)-5</f>
        <v>2.268406625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ht="15.75" customHeight="1">
      <c r="A38" s="3"/>
      <c r="B38" s="3" t="s">
        <v>82</v>
      </c>
      <c r="D38" s="3">
        <f>0.8*D4*D5*D37</f>
        <v>97758.45498</v>
      </c>
      <c r="E38" s="3"/>
      <c r="F38" s="3"/>
      <c r="G38" s="3" t="s">
        <v>83</v>
      </c>
      <c r="I38" s="3">
        <f>1+I36*I34*(0.1+0.9/(1+I37*I34))</f>
        <v>1.353473522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ht="15.75" customHeight="1">
      <c r="A39" s="3"/>
      <c r="B39" s="3" t="s">
        <v>84</v>
      </c>
      <c r="D39" s="3">
        <f>(I11*VLOOKUP(J11, G3:K8, 5, FALSE) + I12*VLOOKUP(J12, G3:K8, 5, FALSE) + I13*VLOOKUP(J13, G3:K8, 5, FALSE))*D12*D15/D10</f>
        <v>186767.0011</v>
      </c>
      <c r="E39" s="3"/>
      <c r="F39" s="3"/>
      <c r="G39" s="3" t="s">
        <v>0</v>
      </c>
      <c r="I39" s="3">
        <f>I21*I38</f>
        <v>115.9926809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ht="15.75" customHeight="1">
      <c r="A40" s="3"/>
      <c r="B40" s="3" t="s">
        <v>4</v>
      </c>
      <c r="D40" s="3">
        <f>D38+D39</f>
        <v>284525.4561</v>
      </c>
      <c r="E40" s="3"/>
      <c r="F40" s="3"/>
      <c r="G40" s="3" t="s">
        <v>1</v>
      </c>
      <c r="I40" s="3">
        <f>I22*(1+5*(I39/I21-1))</f>
        <v>0.005534735224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ht="15.75" customHeight="1">
      <c r="A41" s="3"/>
      <c r="B41" s="3" t="s">
        <v>5</v>
      </c>
      <c r="D41" s="3">
        <f>3/4*D32*D4*D5</f>
        <v>434705072.4</v>
      </c>
      <c r="E41" s="3"/>
      <c r="F41" s="3"/>
      <c r="G41" s="3" t="s">
        <v>85</v>
      </c>
      <c r="I41" s="3">
        <f>I24/(I24-I39/I40)</f>
        <v>2.516531299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</row>
    <row r="42" ht="15.75" customHeight="1">
      <c r="A42" s="3"/>
      <c r="B42" s="3"/>
      <c r="C42" s="3"/>
      <c r="D42" s="3"/>
      <c r="E42" s="3"/>
      <c r="F42" s="3"/>
      <c r="G42" s="3" t="s">
        <v>3</v>
      </c>
      <c r="I42" s="3">
        <f>0.004+0.14*D12/I21*I31</f>
        <v>0.02369935557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</row>
    <row r="43" ht="15.75" customHeight="1">
      <c r="A43" s="3"/>
      <c r="B43" s="3"/>
      <c r="C43" s="3"/>
      <c r="D43" s="3"/>
      <c r="E43" s="3"/>
      <c r="F43" s="3"/>
      <c r="G43" s="3" t="s">
        <v>2</v>
      </c>
      <c r="I43" s="3">
        <f>I39*I42/I40*I41/(I41-1+POWER(I42/I40, I41))</f>
        <v>30.95328832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</row>
  </sheetData>
  <mergeCells count="60">
    <mergeCell ref="G32:H32"/>
    <mergeCell ref="G33:H33"/>
    <mergeCell ref="G28:H28"/>
    <mergeCell ref="G29:H29"/>
    <mergeCell ref="G30:H30"/>
    <mergeCell ref="B31:D31"/>
    <mergeCell ref="G31:H31"/>
    <mergeCell ref="B32:C32"/>
    <mergeCell ref="B33:C33"/>
    <mergeCell ref="B38:C38"/>
    <mergeCell ref="B39:C39"/>
    <mergeCell ref="B40:C40"/>
    <mergeCell ref="B41:C41"/>
    <mergeCell ref="G39:H39"/>
    <mergeCell ref="G40:H40"/>
    <mergeCell ref="G41:H41"/>
    <mergeCell ref="G42:H42"/>
    <mergeCell ref="G43:H43"/>
    <mergeCell ref="B35:C35"/>
    <mergeCell ref="G35:H35"/>
    <mergeCell ref="B36:C36"/>
    <mergeCell ref="G36:H36"/>
    <mergeCell ref="B37:C37"/>
    <mergeCell ref="G37:H37"/>
    <mergeCell ref="G38:H38"/>
    <mergeCell ref="B10:C10"/>
    <mergeCell ref="G10:H10"/>
    <mergeCell ref="Q10:R10"/>
    <mergeCell ref="B1:D1"/>
    <mergeCell ref="B3:D3"/>
    <mergeCell ref="B4:C4"/>
    <mergeCell ref="B5:C5"/>
    <mergeCell ref="B6:C6"/>
    <mergeCell ref="B7:C7"/>
    <mergeCell ref="B9:D9"/>
    <mergeCell ref="B11:C11"/>
    <mergeCell ref="B12:C12"/>
    <mergeCell ref="B13:C13"/>
    <mergeCell ref="B14:C14"/>
    <mergeCell ref="B15:C15"/>
    <mergeCell ref="G15:H15"/>
    <mergeCell ref="B16:C16"/>
    <mergeCell ref="G22:H22"/>
    <mergeCell ref="G23:H23"/>
    <mergeCell ref="B17:C17"/>
    <mergeCell ref="B18:C18"/>
    <mergeCell ref="G20:I20"/>
    <mergeCell ref="B21:D21"/>
    <mergeCell ref="G21:H21"/>
    <mergeCell ref="B22:C22"/>
    <mergeCell ref="B23:C23"/>
    <mergeCell ref="B24:C24"/>
    <mergeCell ref="G24:H24"/>
    <mergeCell ref="B25:C25"/>
    <mergeCell ref="B26:C26"/>
    <mergeCell ref="G26:I26"/>
    <mergeCell ref="B27:C27"/>
    <mergeCell ref="G27:H27"/>
    <mergeCell ref="B34:C34"/>
    <mergeCell ref="G34:H34"/>
  </mergeCells>
  <dataValidations>
    <dataValidation type="list" allowBlank="1" showInputMessage="1" showErrorMessage="1" prompt="Rebar Type" sqref="D11 J11:J13 J16:J18 D22">
      <formula1>$G$3:$G$8</formula1>
    </dataValidation>
  </dataValidations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Tingyan Wu</dc:creator>
</cp:coreProperties>
</file>