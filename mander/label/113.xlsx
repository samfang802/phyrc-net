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/ShH1JIcNLz9FWblm2msz9tCFXtAPvkUoZkzk3q8cog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<sst xmlns="http://schemas.openxmlformats.org/spreadsheetml/2006/main" count="109" uniqueCount="85">
  <si>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</si>
  <si>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</si>
  <si>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</si>
  <si>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</si>
  <si>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</si>
  <si>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</si>
  <si>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</si>
  <si>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</si>
  <si>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</si>
  <si>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</si>
  <si>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</si>
  <si>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</si>
  <si>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</si>
  <si>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</si>
  <si>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10mm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</si>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</sst>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419100</xdr:colOff>
      <xdr:row>23</xdr:row>
      <xdr:rowOff>190500</xdr:rowOff>
    </xdr:from>
    <xdr:ext cx="10972800" cy="36861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95.3169921</v>
      </c>
      <c r="B2" s="2">
        <f>Calculate!R3</f>
        <v>0.003914624012</v>
      </c>
      <c r="C2" s="2">
        <f>Calculate!S3</f>
        <v>4.334941323</v>
      </c>
      <c r="D2" s="2">
        <f>Calculate!T3</f>
        <v>0.02062627497</v>
      </c>
      <c r="E2" s="2">
        <f>Calculate!Q6</f>
        <v>304931.5528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6">
        <f>8</f>
        <v>8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95.3169921</v>
      </c>
      <c r="R3" s="1">
        <f>I40</f>
        <v>0.003914624012</v>
      </c>
      <c r="S3" s="1">
        <f>I43</f>
        <v>4.334941323</v>
      </c>
      <c r="T3" s="1">
        <f>I42</f>
        <v>0.02062627497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8" t="s">
        <v>14</v>
      </c>
      <c r="H4" s="9" t="s">
        <v>14</v>
      </c>
      <c r="I4" s="6">
        <f>10/25.4</f>
        <v>0.3937007874</v>
      </c>
      <c r="J4" s="9">
        <v>10.0</v>
      </c>
      <c r="K4" s="1">
        <f t="shared" si="1"/>
        <v>78.53981634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250.0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30.0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304931.5528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100.0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0" t="s">
        <v>14</v>
      </c>
      <c r="K12" s="3"/>
      <c r="L12" s="15">
        <f t="shared" ref="L12:L23" si="3">164/3</f>
        <v>54.66666667</v>
      </c>
      <c r="M12" s="16">
        <f t="shared" ref="M12:M23" si="4">L12-VLOOKUP($D$22, $G$3:$K$8, 4, FALSE)</f>
        <v>44.66666667</v>
      </c>
      <c r="N12" s="3">
        <f t="shared" ref="N12:N23" si="5">M12^2</f>
        <v>1995.111111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5">
        <f t="shared" si="3"/>
        <v>54.66666667</v>
      </c>
      <c r="M13" s="16">
        <f t="shared" si="4"/>
        <v>44.66666667</v>
      </c>
      <c r="N13" s="3">
        <f t="shared" si="5"/>
        <v>1995.111111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92</v>
      </c>
      <c r="E14" s="3"/>
      <c r="F14" s="3"/>
      <c r="G14" s="3"/>
      <c r="H14" s="3"/>
      <c r="K14" s="3"/>
      <c r="L14" s="15">
        <f t="shared" si="3"/>
        <v>54.66666667</v>
      </c>
      <c r="M14" s="16">
        <f t="shared" si="4"/>
        <v>44.66666667</v>
      </c>
      <c r="N14" s="3">
        <f t="shared" si="5"/>
        <v>1995.111111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5">
        <f t="shared" si="3"/>
        <v>54.66666667</v>
      </c>
      <c r="M15" s="16">
        <f t="shared" si="4"/>
        <v>44.66666667</v>
      </c>
      <c r="N15" s="3">
        <f t="shared" si="5"/>
        <v>1995.111111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54.66666667</v>
      </c>
      <c r="M16" s="16">
        <f t="shared" si="4"/>
        <v>44.66666667</v>
      </c>
      <c r="N16" s="3">
        <f t="shared" si="5"/>
        <v>1995.111111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0" t="s">
        <v>14</v>
      </c>
      <c r="K17" s="3"/>
      <c r="L17" s="15">
        <f t="shared" si="3"/>
        <v>54.66666667</v>
      </c>
      <c r="M17" s="16">
        <f t="shared" si="4"/>
        <v>44.66666667</v>
      </c>
      <c r="N17" s="3">
        <f t="shared" si="5"/>
        <v>1995.111111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16</v>
      </c>
      <c r="K18" s="3"/>
      <c r="L18" s="15">
        <f t="shared" si="3"/>
        <v>54.66666667</v>
      </c>
      <c r="M18" s="16">
        <f t="shared" si="4"/>
        <v>44.66666667</v>
      </c>
      <c r="N18" s="3">
        <f t="shared" si="5"/>
        <v>1995.111111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54.66666667</v>
      </c>
      <c r="M19" s="16">
        <f t="shared" si="4"/>
        <v>44.66666667</v>
      </c>
      <c r="N19" s="3">
        <f t="shared" si="5"/>
        <v>1995.111111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5">
        <f t="shared" si="3"/>
        <v>54.66666667</v>
      </c>
      <c r="M20" s="16">
        <f t="shared" si="4"/>
        <v>44.66666667</v>
      </c>
      <c r="N20" s="3">
        <f t="shared" si="5"/>
        <v>1995.111111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5">
        <f t="shared" si="3"/>
        <v>54.66666667</v>
      </c>
      <c r="M21" s="16">
        <f t="shared" si="4"/>
        <v>44.66666667</v>
      </c>
      <c r="N21" s="3">
        <f t="shared" si="5"/>
        <v>1995.111111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L22" s="15">
        <f t="shared" si="3"/>
        <v>54.66666667</v>
      </c>
      <c r="M22" s="16">
        <f t="shared" si="4"/>
        <v>44.66666667</v>
      </c>
      <c r="N22" s="3">
        <f t="shared" si="5"/>
        <v>1995.111111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5">
        <f t="shared" si="3"/>
        <v>54.66666667</v>
      </c>
      <c r="M23" s="16">
        <f t="shared" si="4"/>
        <v>44.66666667</v>
      </c>
      <c r="N23" s="3">
        <f t="shared" si="5"/>
        <v>1995.111111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942.4777961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0.02845301884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0.01507964474</v>
      </c>
      <c r="E27" s="3"/>
      <c r="F27" s="3"/>
      <c r="G27" s="3" t="s">
        <v>62</v>
      </c>
      <c r="I27" s="3">
        <f>(D18-SUM(N:N)/6)*(1-D14/2/D16)*(1-D14/2/D15)</f>
        <v>16267.91311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0.505504774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0.01104735878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0.01104735878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0.02209471756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2.40133182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9.500728552</v>
      </c>
      <c r="F33" s="3"/>
      <c r="G33" s="3" t="s">
        <v>72</v>
      </c>
      <c r="I33" s="3">
        <f>I28*I30*D12</f>
        <v>2.40133182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0.03001664775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1.191462401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157351.0663</v>
      </c>
      <c r="E39" s="3"/>
      <c r="F39" s="3"/>
      <c r="G39" s="3" t="s">
        <v>0</v>
      </c>
      <c r="I39" s="3">
        <f>I21*I38</f>
        <v>95.3169921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304931.5528</v>
      </c>
      <c r="E40" s="3"/>
      <c r="F40" s="3"/>
      <c r="G40" s="3" t="s">
        <v>1</v>
      </c>
      <c r="I40" s="3">
        <f>I22*(1+5*(I39/I21-1))</f>
        <v>0.003914624012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3.632020927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0.02062627497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4.334941323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