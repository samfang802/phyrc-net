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P2nbFBe5qJZhMh34TjS9hNnU4CWxUaP03WYQgZhJlFI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<sst xmlns="http://schemas.openxmlformats.org/spreadsheetml/2006/main" count="109" uniqueCount="87">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</sst>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  <border>
      <left style="thin">
        <color rgb="FFB2B2B2"/>
      </left>
      <right style="thin">
        <color rgb="FFB2B2B2"/>
      </right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8" fillId="2" fontId="1" numFmtId="0" xfId="0" applyAlignment="1" applyBorder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7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7" y="112059"/>
              <a:ext cx="1925570" cy="4695285"/>
              <a:chOff x="13816853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4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6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3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4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09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5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1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2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152400</xdr:colOff>
      <xdr:row>16</xdr:row>
      <xdr:rowOff>28575</xdr:rowOff>
    </xdr:from>
    <xdr:ext cx="6096000" cy="45434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114300</xdr:colOff>
      <xdr:row>0</xdr:row>
      <xdr:rowOff>0</xdr:rowOff>
    </xdr:from>
    <xdr:ext cx="5162550" cy="3695700"/>
    <xdr:pic>
      <xdr:nvPicPr>
        <xdr:cNvPr id="0" name="image2.png" title="圖片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40.68723419</v>
      </c>
      <c r="B2" s="2">
        <f>Calculate!R3</f>
        <v>0.005082711959</v>
      </c>
      <c r="C2" s="2">
        <f>Calculate!S3</f>
        <v>23.74451695</v>
      </c>
      <c r="D2" s="2">
        <f>Calculate!T3</f>
        <v>0.02449946917</v>
      </c>
      <c r="E2" s="2">
        <f>Calculate!Q6</f>
        <v>1155233.43</v>
      </c>
      <c r="F2" s="2">
        <f>Calculate!R6</f>
        <v>2455024145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 t="shared" ref="J3:J8" si="1">I3*25.4</f>
        <v>9.525</v>
      </c>
      <c r="K3" s="1">
        <f t="shared" ref="K3:K8" si="2">PI()*J3^2/4</f>
        <v>71.25573925</v>
      </c>
      <c r="L3" s="3"/>
      <c r="M3" s="3"/>
      <c r="N3" s="3"/>
      <c r="O3" s="3"/>
      <c r="P3" s="3"/>
      <c r="Q3" s="1">
        <f>I39</f>
        <v>40.68723419</v>
      </c>
      <c r="R3" s="1">
        <f>I40</f>
        <v>0.005082711959</v>
      </c>
      <c r="S3" s="1">
        <f>I43</f>
        <v>23.74451695</v>
      </c>
      <c r="T3" s="1">
        <f>I42</f>
        <v>0.02449946917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500.0</v>
      </c>
      <c r="E4" s="3"/>
      <c r="F4" s="3"/>
      <c r="G4" s="8" t="s">
        <v>15</v>
      </c>
      <c r="H4" s="6" t="s">
        <v>16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9">
        <v>750.0</v>
      </c>
      <c r="E5" s="3"/>
      <c r="F5" s="3"/>
      <c r="G5" s="8" t="s">
        <v>18</v>
      </c>
      <c r="H5" s="6" t="s">
        <v>19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9">
        <v>24.0</v>
      </c>
      <c r="E6" s="3"/>
      <c r="F6" s="3"/>
      <c r="G6" s="8" t="s">
        <v>21</v>
      </c>
      <c r="H6" s="6" t="s">
        <v>22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1155233.43</v>
      </c>
      <c r="R6" s="1">
        <f>D41</f>
        <v>2455024145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9">
        <v>24.0</v>
      </c>
      <c r="E7" s="3"/>
      <c r="F7" s="3"/>
      <c r="G7" s="8" t="s">
        <v>24</v>
      </c>
      <c r="H7" s="6" t="s">
        <v>25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1" t="s">
        <v>26</v>
      </c>
      <c r="H8" s="6" t="s">
        <v>27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2"/>
      <c r="D10" s="9">
        <v>110.0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2"/>
      <c r="D11" s="9" t="s">
        <v>12</v>
      </c>
      <c r="E11" s="3"/>
      <c r="F11" s="3"/>
      <c r="G11" s="3"/>
      <c r="H11" s="3"/>
      <c r="I11" s="9">
        <v>2.0</v>
      </c>
      <c r="J11" s="9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2"/>
      <c r="D12" s="9">
        <v>412.0</v>
      </c>
      <c r="E12" s="3"/>
      <c r="F12" s="3"/>
      <c r="G12" s="3"/>
      <c r="H12" s="3"/>
      <c r="I12" s="9">
        <v>2.0</v>
      </c>
      <c r="J12" s="9" t="s">
        <v>15</v>
      </c>
      <c r="K12" s="3"/>
      <c r="L12" s="9">
        <v>200.0</v>
      </c>
      <c r="M12" s="13">
        <f t="shared" ref="M12:M23" si="3">L12-VLOOKUP($D$22, $G$3:$K$8, 4, FALSE)</f>
        <v>177.775</v>
      </c>
      <c r="N12" s="3">
        <f t="shared" ref="N12:N23" si="4">M12^2</f>
        <v>31603.95063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2"/>
      <c r="D13" s="9">
        <v>1.0</v>
      </c>
      <c r="E13" s="3"/>
      <c r="F13" s="3"/>
      <c r="G13" s="3"/>
      <c r="H13" s="3"/>
      <c r="I13" s="9">
        <v>0.0</v>
      </c>
      <c r="J13" s="9" t="s">
        <v>18</v>
      </c>
      <c r="K13" s="3"/>
      <c r="L13" s="9">
        <v>260.0</v>
      </c>
      <c r="M13" s="13">
        <f t="shared" si="3"/>
        <v>237.775</v>
      </c>
      <c r="N13" s="3">
        <f t="shared" si="4"/>
        <v>56536.95063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100.475</v>
      </c>
      <c r="E14" s="3"/>
      <c r="F14" s="3"/>
      <c r="G14" s="3"/>
      <c r="H14" s="3"/>
      <c r="K14" s="3"/>
      <c r="L14" s="9">
        <v>200.0</v>
      </c>
      <c r="M14" s="13">
        <f t="shared" si="3"/>
        <v>177.775</v>
      </c>
      <c r="N14" s="3">
        <f t="shared" si="4"/>
        <v>31603.95063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4">
        <f>D4-2*D7-VLOOKUP(D11, G3:K8, 4,FALSE )</f>
        <v>442.475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9">
        <v>140.0</v>
      </c>
      <c r="M15" s="13">
        <f t="shared" si="3"/>
        <v>117.775</v>
      </c>
      <c r="N15" s="3">
        <f t="shared" si="4"/>
        <v>13870.95063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4">
        <f>D5-2*D6-VLOOKUP(D11, G3:K8, 4,FALSE )</f>
        <v>692.475</v>
      </c>
      <c r="E16" s="3"/>
      <c r="F16" s="3"/>
      <c r="G16" s="3"/>
      <c r="H16" s="3"/>
      <c r="I16" s="9">
        <v>4.0</v>
      </c>
      <c r="J16" s="9" t="s">
        <v>12</v>
      </c>
      <c r="K16" s="3"/>
      <c r="L16" s="9">
        <v>130.0</v>
      </c>
      <c r="M16" s="13">
        <f t="shared" si="3"/>
        <v>107.775</v>
      </c>
      <c r="N16" s="3">
        <f t="shared" si="4"/>
        <v>11615.45063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71.25573925</v>
      </c>
      <c r="E17" s="3"/>
      <c r="F17" s="3"/>
      <c r="G17" s="3"/>
      <c r="H17" s="3"/>
      <c r="I17" s="9">
        <v>0.0</v>
      </c>
      <c r="J17" s="9" t="s">
        <v>15</v>
      </c>
      <c r="K17" s="3"/>
      <c r="L17" s="9">
        <v>140.0</v>
      </c>
      <c r="M17" s="13">
        <f t="shared" si="3"/>
        <v>117.775</v>
      </c>
      <c r="N17" s="3">
        <f t="shared" si="4"/>
        <v>13870.95063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306402.8756</v>
      </c>
      <c r="E18" s="3"/>
      <c r="F18" s="3"/>
      <c r="G18" s="3"/>
      <c r="H18" s="3"/>
      <c r="I18" s="9">
        <v>0.0</v>
      </c>
      <c r="J18" s="9" t="s">
        <v>18</v>
      </c>
      <c r="K18" s="3"/>
      <c r="L18" s="15">
        <v>200.0</v>
      </c>
      <c r="M18" s="13">
        <f t="shared" si="3"/>
        <v>177.775</v>
      </c>
      <c r="N18" s="3">
        <f t="shared" si="4"/>
        <v>31603.95063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5">
        <v>260.0</v>
      </c>
      <c r="M19" s="13">
        <f t="shared" si="3"/>
        <v>237.775</v>
      </c>
      <c r="N19" s="3">
        <f t="shared" si="4"/>
        <v>56536.95063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L20" s="15">
        <v>200.0</v>
      </c>
      <c r="M20" s="13">
        <f t="shared" si="3"/>
        <v>177.775</v>
      </c>
      <c r="N20" s="3">
        <f t="shared" si="4"/>
        <v>31603.95063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9">
        <v>31.1</v>
      </c>
      <c r="J21" s="3"/>
      <c r="K21" s="3"/>
      <c r="L21" s="15">
        <v>140.0</v>
      </c>
      <c r="M21" s="13">
        <f t="shared" si="3"/>
        <v>117.775</v>
      </c>
      <c r="N21" s="3">
        <f t="shared" si="4"/>
        <v>13870.95063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2"/>
      <c r="D22" s="9" t="s">
        <v>24</v>
      </c>
      <c r="E22" s="3"/>
      <c r="F22" s="3"/>
      <c r="G22" s="3" t="s">
        <v>55</v>
      </c>
      <c r="I22" s="3">
        <v>0.002</v>
      </c>
      <c r="J22" s="3"/>
      <c r="K22" s="3"/>
      <c r="L22" s="15">
        <v>130.0</v>
      </c>
      <c r="M22" s="13">
        <f t="shared" si="3"/>
        <v>107.775</v>
      </c>
      <c r="N22" s="3">
        <f t="shared" si="4"/>
        <v>11615.45063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9">
        <v>14.0</v>
      </c>
      <c r="E23" s="3"/>
      <c r="F23" s="3"/>
      <c r="G23" s="3" t="s">
        <v>57</v>
      </c>
      <c r="I23" s="3">
        <v>0.005</v>
      </c>
      <c r="J23" s="3"/>
      <c r="K23" s="3"/>
      <c r="L23" s="15">
        <v>140.0</v>
      </c>
      <c r="M23" s="13">
        <f t="shared" si="3"/>
        <v>117.775</v>
      </c>
      <c r="N23" s="3">
        <f t="shared" si="4"/>
        <v>13870.95063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2"/>
      <c r="D24" s="9">
        <v>412.0</v>
      </c>
      <c r="E24" s="3"/>
      <c r="F24" s="3"/>
      <c r="G24" s="3" t="s">
        <v>59</v>
      </c>
      <c r="I24" s="3">
        <f>15000*SQRT(I21*100/9.8)*0.8*9.8/100</f>
        <v>20949.53937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5431.270792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0.01772591325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0.01448338878</v>
      </c>
      <c r="E27" s="3"/>
      <c r="F27" s="3"/>
      <c r="G27" s="3" t="s">
        <v>64</v>
      </c>
      <c r="I27" s="3">
        <f>(D18-SUM(N:N)/6)*(1-D14/2/D16)*(1-D14/2/D15)</f>
        <v>208307.5847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0.692117068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0.005196974201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0.005855964271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0.01105293847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8728.974739</v>
      </c>
      <c r="E32" s="3"/>
      <c r="F32" s="3"/>
      <c r="G32" s="3" t="s">
        <v>72</v>
      </c>
      <c r="I32" s="3">
        <f>I28*I29*$D$12</f>
        <v>1.481928793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4.55381065</v>
      </c>
      <c r="F33" s="3"/>
      <c r="G33" s="3" t="s">
        <v>74</v>
      </c>
      <c r="I33" s="3">
        <f>I28*I30*D12</f>
        <v>1.669841282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0.05067154462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0.1953891304</v>
      </c>
      <c r="E35" s="3"/>
      <c r="F35" s="3"/>
      <c r="G35" s="3" t="s">
        <v>78</v>
      </c>
      <c r="I35" s="3">
        <f>MIN(I32, I33)/MAX(I32, I33)</f>
        <v>0.887466856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1.19538913</v>
      </c>
      <c r="E36" s="3">
        <f>1+D35</f>
        <v>1.19538913</v>
      </c>
      <c r="F36" s="3"/>
      <c r="G36" s="3" t="s">
        <v>80</v>
      </c>
      <c r="I36" s="3">
        <f>6.8886-(0.6069+17.275*I35)*EXP(1)^(-4.989*I35)</f>
        <v>6.698246585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1.663926269</v>
      </c>
      <c r="E37" s="3"/>
      <c r="F37" s="3"/>
      <c r="G37" s="3" t="s">
        <v>82</v>
      </c>
      <c r="I37" s="3">
        <f>4.5/(5/I36*(0.9849-0.6306*EXP(1)^(-3.989*I35))-0.1)-5</f>
        <v>2.240119748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499177.8806</v>
      </c>
      <c r="E38" s="3"/>
      <c r="F38" s="3"/>
      <c r="G38" s="3" t="s">
        <v>84</v>
      </c>
      <c r="I38" s="3">
        <f>1+I36*I34*(0.1+0.9/(1+I37*I34))</f>
        <v>1.308271196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656055.5499</v>
      </c>
      <c r="E39" s="3"/>
      <c r="F39" s="3"/>
      <c r="G39" s="3" t="s">
        <v>0</v>
      </c>
      <c r="I39" s="3">
        <f>I21*I38</f>
        <v>40.68723419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1155233.43</v>
      </c>
      <c r="E40" s="3"/>
      <c r="F40" s="3"/>
      <c r="G40" s="3" t="s">
        <v>1</v>
      </c>
      <c r="I40" s="3">
        <f>I22*(1+5*(I39/I21-1))</f>
        <v>0.005082711959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2455024145</v>
      </c>
      <c r="E41" s="3"/>
      <c r="F41" s="3"/>
      <c r="G41" s="3" t="s">
        <v>86</v>
      </c>
      <c r="I41" s="3">
        <f>I24/(I24-I39/I40)</f>
        <v>1.618410556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0.02449946917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23.74451695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