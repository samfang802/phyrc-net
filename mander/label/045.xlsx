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845821C4-C08B-47E1-97CC-821BB088C06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7qPqYUBGqNK0VFhCCwtQQA5xpRlhFHccMDz8PVSkhDM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7" i="2"/>
  <c r="D16" i="2"/>
  <c r="I29" i="2" s="1"/>
  <c r="M15" i="2"/>
  <c r="N15" i="2" s="1"/>
  <c r="D15" i="2"/>
  <c r="D39" i="2" s="1"/>
  <c r="M14" i="2"/>
  <c r="N14" i="2" s="1"/>
  <c r="D14" i="2"/>
  <c r="M13" i="2"/>
  <c r="N13" i="2" s="1"/>
  <c r="M12" i="2"/>
  <c r="N12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K5" i="2" s="1"/>
  <c r="K4" i="2"/>
  <c r="I4" i="2"/>
  <c r="J3" i="2"/>
  <c r="K3" i="2" s="1"/>
  <c r="D25" i="2" s="1"/>
  <c r="I3" i="2"/>
  <c r="D27" i="2" l="1"/>
  <c r="D18" i="2"/>
  <c r="I27" i="2" s="1"/>
  <c r="D32" i="2"/>
  <c r="D41" i="2" s="1"/>
  <c r="R6" i="2" s="1"/>
  <c r="F2" i="1" s="1"/>
  <c r="I30" i="2"/>
  <c r="I31" i="2" s="1"/>
  <c r="E33" i="2" l="1"/>
  <c r="D33" i="2"/>
  <c r="I42" i="2"/>
  <c r="T3" i="2" s="1"/>
  <c r="D2" i="1" s="1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5" i="2" l="1"/>
  <c r="I36" i="2" s="1"/>
  <c r="I34" i="2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<sst xmlns="http://schemas.openxmlformats.org/spreadsheetml/2006/main" count="109" uniqueCount="86">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</sst>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6438900" cy="33242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39.723607830820413</v>
      </c>
      <c r="B2" s="2">
        <f>Calculate!R3</f>
        <v>5.7929193857015329E-3</v>
      </c>
      <c r="C2" s="2">
        <f>Calculate!S3</f>
        <v>20.443706426894984</v>
      </c>
      <c r="D2" s="2">
        <f>Calculate!T3</f>
        <v>4.5042508191429159E-2</v>
      </c>
      <c r="E2" s="2">
        <f>Calculate!Q6</f>
        <v>103740.12038119472</v>
      </c>
      <c r="F2" s="2">
        <f>Calculate!R6</f>
        <v>161280000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workbookViewId="0">
      <selection activeCell="L16" sqref="L16:N20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39.723607830820413</v>
      </c>
      <c r="R3" s="1">
        <f>I40</f>
        <v>5.7929193857015329E-3</v>
      </c>
      <c r="S3" s="1">
        <f>I43</f>
        <v>20.443706426894984</v>
      </c>
      <c r="T3" s="1">
        <f>I42</f>
        <v>4.5042508191429159E-2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103740.12038119472</v>
      </c>
      <c r="R6" s="1">
        <f>D41</f>
        <v>161280000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28.8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20160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8400</v>
      </c>
      <c r="E32" s="3"/>
      <c r="F32" s="3"/>
      <c r="G32" s="15" t="s">
        <v>71</v>
      </c>
      <c r="H32" s="16"/>
      <c r="I32" s="3">
        <f>I28*I29*$D$12</f>
        <v>1.8195788536342634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1.8195788536342634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6.3179821306745251E-2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0.1809391304347826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1.1809391304347825</v>
      </c>
      <c r="E36" s="3">
        <f>1+D35</f>
        <v>1.1809391304347825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1.5818610699989746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32396.514713578999</v>
      </c>
      <c r="E38" s="3"/>
      <c r="F38" s="3"/>
      <c r="G38" s="15" t="s">
        <v>83</v>
      </c>
      <c r="H38" s="16"/>
      <c r="I38" s="3">
        <f>1+I36*I34*(0.1+0.9/(1+I37*I34))</f>
        <v>1.3792919385701532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39.723607830820413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103740.12038119472</v>
      </c>
      <c r="E40" s="3"/>
      <c r="F40" s="3"/>
      <c r="G40" s="15" t="s">
        <v>1</v>
      </c>
      <c r="H40" s="16"/>
      <c r="I40" s="3">
        <f>I22*(1+5*(I39/I21-1))</f>
        <v>5.7929193857015329E-3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161280000</v>
      </c>
      <c r="E41" s="3"/>
      <c r="F41" s="3"/>
      <c r="G41" s="15" t="s">
        <v>85</v>
      </c>
      <c r="H41" s="16"/>
      <c r="I41" s="3">
        <f>I24/(I24-I39/I40)</f>
        <v>1.5154783135973273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4.5042508191429159E-2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20.443706426894984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2024-05-16T11:13:26Z</dcterms:modified>
</cp:coreProperties>
</file>