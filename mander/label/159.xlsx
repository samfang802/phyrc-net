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+bn/84edE73NEj2iyMDOBDTCK3RD+/n4gxdYIJ+tQGs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<sst xmlns="http://schemas.openxmlformats.org/spreadsheetml/2006/main" count="109" uniqueCount="85">
  <si>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</si>
  <si>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</si>
  <si>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</si>
  <si>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</si>
  <si>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</si>
  <si>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</si>
  <si>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</si>
  <si>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</si>
  <si>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</si>
  <si>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</si>
  <si>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</si>
  <si>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</si>
  <si>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</si>
  <si>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</si>
  <si>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</si>
  <si>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10M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</si>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</sst>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6724650" cy="43815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105.0843276</v>
      </c>
      <c r="B2" s="2">
        <f>Calculate!R3</f>
        <v>0.006635700221</v>
      </c>
      <c r="C2" s="2">
        <f>Calculate!S3</f>
        <v>34.80615183</v>
      </c>
      <c r="D2" s="2">
        <f>Calculate!T3</f>
        <v>0.03945729245</v>
      </c>
      <c r="E2" s="2">
        <f>Calculate!Q6</f>
        <v>849978.8474</v>
      </c>
      <c r="F2" s="2">
        <f>Calculate!R6</f>
        <v>925350377.3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105.0843276</v>
      </c>
      <c r="R3" s="1">
        <f>I40</f>
        <v>0.006635700221</v>
      </c>
      <c r="S3" s="1">
        <f>I43</f>
        <v>34.80615183</v>
      </c>
      <c r="T3" s="1">
        <f>I42</f>
        <v>0.03945729245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10" t="s">
        <v>15</v>
      </c>
      <c r="H4" s="11" t="s">
        <v>15</v>
      </c>
      <c r="I4" s="6">
        <f>11.3/25.4</f>
        <v>0.4448818898</v>
      </c>
      <c r="J4" s="6">
        <f>11.3</f>
        <v>11.3</v>
      </c>
      <c r="K4" s="1">
        <f t="shared" si="1"/>
        <v>100.2874915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305.0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14.0</v>
      </c>
      <c r="E6" s="3"/>
      <c r="F6" s="3"/>
      <c r="G6" s="10" t="s">
        <v>20</v>
      </c>
      <c r="H6" s="11" t="s">
        <v>20</v>
      </c>
      <c r="I6" s="6">
        <f>19.5/25.4</f>
        <v>0.7677165354</v>
      </c>
      <c r="J6" s="11">
        <v>19.5</v>
      </c>
      <c r="K6" s="1">
        <f t="shared" si="1"/>
        <v>298.6476516</v>
      </c>
      <c r="L6" s="3"/>
      <c r="M6" s="3"/>
      <c r="N6" s="3"/>
      <c r="O6" s="3"/>
      <c r="P6" s="3"/>
      <c r="Q6" s="1">
        <f>D40</f>
        <v>849978.8474</v>
      </c>
      <c r="R6" s="1">
        <f>D41</f>
        <v>925350377.3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9">
        <v>14.0</v>
      </c>
      <c r="E7" s="3"/>
      <c r="F7" s="3"/>
      <c r="G7" s="8" t="s">
        <v>22</v>
      </c>
      <c r="H7" s="6" t="s">
        <v>23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9">
        <v>90.0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9">
        <v>542.0</v>
      </c>
      <c r="E12" s="3"/>
      <c r="F12" s="3"/>
      <c r="G12" s="3"/>
      <c r="H12" s="3"/>
      <c r="I12" s="9">
        <v>4.0</v>
      </c>
      <c r="J12" s="9" t="s">
        <v>15</v>
      </c>
      <c r="K12" s="3"/>
      <c r="L12" s="9">
        <f t="shared" ref="L12:L19" si="3">247.5/2</f>
        <v>123.75</v>
      </c>
      <c r="M12" s="16">
        <f t="shared" ref="M12:M19" si="4">L12-VLOOKUP($D$22, $G$3:$K$8, 4, FALSE)</f>
        <v>104.25</v>
      </c>
      <c r="N12" s="3">
        <f t="shared" ref="N12:N19" si="5">M12^2</f>
        <v>10868.0625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9">
        <v>2.0</v>
      </c>
      <c r="E13" s="3"/>
      <c r="F13" s="3"/>
      <c r="G13" s="3"/>
      <c r="H13" s="3"/>
      <c r="I13" s="15"/>
      <c r="J13" s="15" t="s">
        <v>17</v>
      </c>
      <c r="K13" s="3"/>
      <c r="L13" s="9">
        <f t="shared" si="3"/>
        <v>123.75</v>
      </c>
      <c r="M13" s="16">
        <f t="shared" si="4"/>
        <v>104.25</v>
      </c>
      <c r="N13" s="3">
        <f t="shared" si="5"/>
        <v>10868.0625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67.4</v>
      </c>
      <c r="E14" s="3"/>
      <c r="F14" s="3"/>
      <c r="G14" s="3"/>
      <c r="H14" s="3"/>
      <c r="K14" s="3"/>
      <c r="L14" s="9">
        <f t="shared" si="3"/>
        <v>123.75</v>
      </c>
      <c r="M14" s="16">
        <f t="shared" si="4"/>
        <v>104.25</v>
      </c>
      <c r="N14" s="3">
        <f t="shared" si="5"/>
        <v>10868.0625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265.7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9">
        <f t="shared" si="3"/>
        <v>123.75</v>
      </c>
      <c r="M15" s="16">
        <f t="shared" si="4"/>
        <v>104.25</v>
      </c>
      <c r="N15" s="3">
        <f t="shared" si="5"/>
        <v>10868.0625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265.7</v>
      </c>
      <c r="E16" s="3"/>
      <c r="F16" s="3"/>
      <c r="G16" s="3"/>
      <c r="H16" s="3"/>
      <c r="I16" s="15"/>
      <c r="J16" s="15" t="s">
        <v>12</v>
      </c>
      <c r="K16" s="3"/>
      <c r="L16" s="9">
        <f t="shared" si="3"/>
        <v>123.75</v>
      </c>
      <c r="M16" s="16">
        <f t="shared" si="4"/>
        <v>104.25</v>
      </c>
      <c r="N16" s="3">
        <f t="shared" si="5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200.574983</v>
      </c>
      <c r="E17" s="3"/>
      <c r="F17" s="3"/>
      <c r="G17" s="3"/>
      <c r="H17" s="3"/>
      <c r="I17" s="9">
        <v>4.0</v>
      </c>
      <c r="J17" s="9" t="s">
        <v>15</v>
      </c>
      <c r="K17" s="3"/>
      <c r="L17" s="9">
        <f t="shared" si="3"/>
        <v>123.75</v>
      </c>
      <c r="M17" s="16">
        <f t="shared" si="4"/>
        <v>104.25</v>
      </c>
      <c r="N17" s="3">
        <f t="shared" si="5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70596.49</v>
      </c>
      <c r="E18" s="3"/>
      <c r="F18" s="3"/>
      <c r="G18" s="3"/>
      <c r="H18" s="3"/>
      <c r="I18" s="15"/>
      <c r="J18" s="15" t="s">
        <v>17</v>
      </c>
      <c r="K18" s="3"/>
      <c r="L18" s="9">
        <f t="shared" si="3"/>
        <v>123.75</v>
      </c>
      <c r="M18" s="16">
        <f t="shared" si="4"/>
        <v>104.25</v>
      </c>
      <c r="N18" s="3">
        <f t="shared" si="5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f t="shared" si="3"/>
        <v>123.75</v>
      </c>
      <c r="M19" s="16">
        <f t="shared" si="4"/>
        <v>104.25</v>
      </c>
      <c r="N19" s="3">
        <f t="shared" si="5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9">
        <v>71.8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9" t="s">
        <v>20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9">
        <v>8.0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9">
        <v>454.0</v>
      </c>
      <c r="E24" s="3"/>
      <c r="F24" s="3"/>
      <c r="G24" s="3" t="s">
        <v>57</v>
      </c>
      <c r="I24" s="3">
        <f>15000*SQRT(I21*100/9.8)*0.8*9.8/100</f>
        <v>31831.45614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0.03384277622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0.02568321648</v>
      </c>
      <c r="E27" s="3"/>
      <c r="F27" s="3"/>
      <c r="G27" s="3" t="s">
        <v>62</v>
      </c>
      <c r="I27" s="3">
        <f>(D18-SUM(N:N)/6)*(1-D14/2/D16)*(1-D14/2/D15)</f>
        <v>42775.99849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0.6271468447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0.01677539271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0.01677539271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0.03355078543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13263.10673</v>
      </c>
      <c r="E32" s="3"/>
      <c r="F32" s="3"/>
      <c r="G32" s="3" t="s">
        <v>70</v>
      </c>
      <c r="I32" s="3">
        <f>I28*I29*$D$12</f>
        <v>5.702183958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18.1845257</v>
      </c>
      <c r="F33" s="3"/>
      <c r="G33" s="3" t="s">
        <v>72</v>
      </c>
      <c r="I33" s="3">
        <f>I28*I30*D12</f>
        <v>5.702183958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0.07941760387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0.4510913043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1.451091304</v>
      </c>
      <c r="E36" s="3">
        <f>1+D35</f>
        <v>1.451091304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2.796251062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208097.004</v>
      </c>
      <c r="E38" s="3"/>
      <c r="F38" s="3"/>
      <c r="G38" s="3" t="s">
        <v>82</v>
      </c>
      <c r="I38" s="3">
        <f>1+I36*I34*(0.1+0.9/(1+I37*I34))</f>
        <v>1.463570022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641881.8434</v>
      </c>
      <c r="E39" s="3"/>
      <c r="F39" s="3"/>
      <c r="G39" s="3" t="s">
        <v>0</v>
      </c>
      <c r="I39" s="3">
        <f>I21*I38</f>
        <v>105.0843276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849978.8474</v>
      </c>
      <c r="E40" s="3"/>
      <c r="F40" s="3"/>
      <c r="G40" s="3" t="s">
        <v>1</v>
      </c>
      <c r="I40" s="3">
        <f>I22*(1+5*(I39/I21-1))</f>
        <v>0.006635700221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925350377.3</v>
      </c>
      <c r="E41" s="3"/>
      <c r="F41" s="3"/>
      <c r="G41" s="3" t="s">
        <v>84</v>
      </c>
      <c r="I41" s="3">
        <f>I24/(I24-I39/I40)</f>
        <v>1.990057013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0.03945729245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34.80615183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