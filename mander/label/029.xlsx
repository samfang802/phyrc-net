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XGIHa+EyjDLmfFZemirwGtkOylcKqXC71zt/IyyiBts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<sst xmlns="http://schemas.openxmlformats.org/spreadsheetml/2006/main" count="109" uniqueCount="87">
  <si>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</si>
  <si>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</si>
  <si>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</si>
  <si>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</si>
  <si>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</si>
  <si>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</si>
  <si>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</si>
  <si>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</si>
  <si>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</si>
  <si>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</si>
  <si>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</si>
  <si>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</si>
  <si>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6mm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</si>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</sst>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</xdr:row>
      <xdr:rowOff>0</xdr:rowOff>
    </xdr:from>
    <xdr:ext cx="2543175" cy="224790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36.16757142</v>
      </c>
      <c r="B2" s="2">
        <f>Calculate!R3</f>
        <v>0.009222653056</v>
      </c>
      <c r="C2" s="2">
        <f>Calculate!S3</f>
        <v>24.30221086</v>
      </c>
      <c r="D2" s="2">
        <f>Calculate!T3</f>
        <v>0.08028526161</v>
      </c>
      <c r="E2" s="2">
        <f>Calculate!Q6</f>
        <v>206779.3233</v>
      </c>
      <c r="F2" s="2">
        <f>Calculate!R6</f>
        <v>215185966.1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9">
        <v>6.0</v>
      </c>
      <c r="K3" s="1">
        <f t="shared" ref="K3:K8" si="1">PI()*J3^2/4</f>
        <v>28.27433388</v>
      </c>
      <c r="L3" s="3"/>
      <c r="M3" s="3"/>
      <c r="N3" s="3"/>
      <c r="O3" s="3"/>
      <c r="P3" s="3"/>
      <c r="Q3" s="1">
        <f>I39</f>
        <v>36.16757142</v>
      </c>
      <c r="R3" s="1">
        <f>I40</f>
        <v>0.009222653056</v>
      </c>
      <c r="S3" s="1">
        <f>I43</f>
        <v>24.30221086</v>
      </c>
      <c r="T3" s="1">
        <f>I42</f>
        <v>0.08028526161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10">
        <v>200.0</v>
      </c>
      <c r="E4" s="3"/>
      <c r="F4" s="3"/>
      <c r="G4" s="11" t="s">
        <v>15</v>
      </c>
      <c r="H4" s="6" t="s">
        <v>16</v>
      </c>
      <c r="I4" s="6">
        <f>4/8</f>
        <v>0.5</v>
      </c>
      <c r="J4" s="6">
        <f t="shared" ref="J4:J8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10">
        <v>200.0</v>
      </c>
      <c r="E5" s="3"/>
      <c r="F5" s="3"/>
      <c r="G5" s="11" t="s">
        <v>18</v>
      </c>
      <c r="H5" s="6" t="s">
        <v>19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10">
        <v>12.0</v>
      </c>
      <c r="E6" s="3"/>
      <c r="F6" s="3"/>
      <c r="G6" s="11" t="s">
        <v>21</v>
      </c>
      <c r="H6" s="6" t="s">
        <v>22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206779.3233</v>
      </c>
      <c r="R6" s="1">
        <f>D41</f>
        <v>215185966.1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10">
        <v>12.0</v>
      </c>
      <c r="E7" s="3"/>
      <c r="F7" s="3"/>
      <c r="G7" s="11" t="s">
        <v>24</v>
      </c>
      <c r="H7" s="6" t="s">
        <v>25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26</v>
      </c>
      <c r="H8" s="6" t="s">
        <v>27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4"/>
      <c r="D10" s="10">
        <v>20.0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4"/>
      <c r="D11" s="10" t="s">
        <v>12</v>
      </c>
      <c r="E11" s="3"/>
      <c r="F11" s="3"/>
      <c r="G11" s="3"/>
      <c r="H11" s="3"/>
      <c r="I11" s="10">
        <v>2.0</v>
      </c>
      <c r="J11" s="10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4"/>
      <c r="D12" s="10">
        <v>344.0</v>
      </c>
      <c r="E12" s="3"/>
      <c r="F12" s="3"/>
      <c r="G12" s="3"/>
      <c r="H12" s="3"/>
      <c r="I12" s="15"/>
      <c r="J12" s="15" t="s">
        <v>15</v>
      </c>
      <c r="K12" s="3"/>
      <c r="L12" s="10">
        <v>155.3</v>
      </c>
      <c r="M12" s="16">
        <f t="shared" ref="M12:M15" si="3">L12-VLOOKUP($D$22, $G$3:$K$8, 4, FALSE)</f>
        <v>142.6</v>
      </c>
      <c r="N12" s="3">
        <f t="shared" ref="N12:N15" si="4">M12^2</f>
        <v>20334.76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4"/>
      <c r="D13" s="10">
        <v>1.0</v>
      </c>
      <c r="E13" s="3"/>
      <c r="F13" s="3"/>
      <c r="G13" s="3"/>
      <c r="H13" s="3"/>
      <c r="I13" s="15"/>
      <c r="J13" s="15" t="s">
        <v>18</v>
      </c>
      <c r="K13" s="3"/>
      <c r="L13" s="10">
        <v>155.3</v>
      </c>
      <c r="M13" s="16">
        <f t="shared" si="3"/>
        <v>142.6</v>
      </c>
      <c r="N13" s="3">
        <f t="shared" si="4"/>
        <v>20334.76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14</v>
      </c>
      <c r="E14" s="3"/>
      <c r="F14" s="3"/>
      <c r="G14" s="3"/>
      <c r="H14" s="3"/>
      <c r="K14" s="3"/>
      <c r="L14" s="10">
        <v>155.3</v>
      </c>
      <c r="M14" s="16">
        <f t="shared" si="3"/>
        <v>142.6</v>
      </c>
      <c r="N14" s="3">
        <f t="shared" si="4"/>
        <v>20334.76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7">
        <f>D4-2*D7-VLOOKUP(D11, G3:K8, 4,FALSE )</f>
        <v>170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0">
        <v>155.3</v>
      </c>
      <c r="M15" s="16">
        <f t="shared" si="3"/>
        <v>142.6</v>
      </c>
      <c r="N15" s="3">
        <f t="shared" si="4"/>
        <v>20334.76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7">
        <f>D5-2*D6-VLOOKUP(D11, G3:K8, 4,FALSE )</f>
        <v>170</v>
      </c>
      <c r="E16" s="3"/>
      <c r="F16" s="3"/>
      <c r="G16" s="3"/>
      <c r="H16" s="3"/>
      <c r="I16" s="10">
        <v>2.0</v>
      </c>
      <c r="J16" s="10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28.27433388</v>
      </c>
      <c r="E17" s="3"/>
      <c r="F17" s="3"/>
      <c r="G17" s="3"/>
      <c r="H17" s="3"/>
      <c r="I17" s="15"/>
      <c r="J17" s="1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28900</v>
      </c>
      <c r="E18" s="3"/>
      <c r="F18" s="3"/>
      <c r="G18" s="3"/>
      <c r="H18" s="3"/>
      <c r="I18" s="15"/>
      <c r="J18" s="15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10">
        <v>21.0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4"/>
      <c r="D22" s="10" t="s">
        <v>15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10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4"/>
      <c r="D24" s="10">
        <v>371.0</v>
      </c>
      <c r="E24" s="3"/>
      <c r="F24" s="3"/>
      <c r="G24" s="3" t="s">
        <v>59</v>
      </c>
      <c r="I24" s="3">
        <f>15000*SQRT(I21*100/9.8)*0.8*9.8/100</f>
        <v>17214.87729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506.7074791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0.01753313076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0.01266768698</v>
      </c>
      <c r="E27" s="3"/>
      <c r="F27" s="3"/>
      <c r="G27" s="3" t="s">
        <v>64</v>
      </c>
      <c r="I27" s="3">
        <f>(D18-SUM(N:N)/6)*(1-D14/2/D16)*(1-D14/2/D15)</f>
        <v>14105.92645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0.4968048858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0.01663196111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0.01663196111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0.03326392221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7172.865536</v>
      </c>
      <c r="E32" s="3"/>
      <c r="F32" s="3"/>
      <c r="G32" s="3" t="s">
        <v>72</v>
      </c>
      <c r="I32" s="3">
        <f>I28*I29*$D$12</f>
        <v>2.842416801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11.44278924</v>
      </c>
      <c r="F33" s="3"/>
      <c r="G33" s="3" t="s">
        <v>74</v>
      </c>
      <c r="I33" s="3">
        <f>I28*I30*D12</f>
        <v>2.842416801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0.135353181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0.1319347826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1.131934783</v>
      </c>
      <c r="E36" s="3">
        <f>1+D35</f>
        <v>1.131934783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1.294719335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41431.01872</v>
      </c>
      <c r="E38" s="3"/>
      <c r="F38" s="3"/>
      <c r="G38" s="3" t="s">
        <v>84</v>
      </c>
      <c r="I38" s="3">
        <f>1+I36*I34*(0.1+0.9/(1+I37*I34))</f>
        <v>1.722265306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165348.3045</v>
      </c>
      <c r="E39" s="3"/>
      <c r="F39" s="3"/>
      <c r="G39" s="3" t="s">
        <v>0</v>
      </c>
      <c r="I39" s="3">
        <f>I21*I38</f>
        <v>36.16757142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206779.3233</v>
      </c>
      <c r="E40" s="3"/>
      <c r="F40" s="3"/>
      <c r="G40" s="3" t="s">
        <v>1</v>
      </c>
      <c r="I40" s="3">
        <f>I22*(1+5*(I39/I21-1))</f>
        <v>0.009222653056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215185966.1</v>
      </c>
      <c r="E41" s="3"/>
      <c r="F41" s="3"/>
      <c r="G41" s="3" t="s">
        <v>86</v>
      </c>
      <c r="I41" s="3">
        <f>I24/(I24-I39/I40)</f>
        <v>1.295006419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0.08028526161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24.30221086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