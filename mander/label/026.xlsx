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wYv142PHHgM+CExJrp6eQph4hXLuSOstPY+0lFLLB3I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<sst xmlns="http://schemas.openxmlformats.org/spreadsheetml/2006/main" count="109" uniqueCount="87">
  <si>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</si>
  <si>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</si>
  <si>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</si>
  <si>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</si>
  <si>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</si>
  <si>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</si>
  <si>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</si>
  <si>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</si>
  <si>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</si>
  <si>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</si>
  <si>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</si>
  <si>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</si>
  <si>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</si>
  <si>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</si>
  <si>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</si>
  <si>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12mm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</si>
  <si>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</si>
  <si>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</si>
  <si>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</si>
  <si>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</si>
  <si>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</si>
  <si>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</si>
  <si>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</si>
  <si>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</si>
  <si>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</si>
  <si>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</si>
  <si>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24mm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</si>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</sst>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 readingOrder="0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</xdr:row>
      <xdr:rowOff>0</xdr:rowOff>
    </xdr:from>
    <xdr:ext cx="2438400" cy="31718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40.99967145</v>
      </c>
      <c r="B2" s="2">
        <f>Calculate!R3</f>
        <v>0.007241513552</v>
      </c>
      <c r="C2" s="2">
        <f>Calculate!S3</f>
        <v>27.57390336</v>
      </c>
      <c r="D2" s="2">
        <f>Calculate!T3</f>
        <v>0.04042349103</v>
      </c>
      <c r="E2" s="2">
        <f>Calculate!Q6</f>
        <v>876970.6493</v>
      </c>
      <c r="F2" s="2">
        <f>Calculate!R6</f>
        <v>1461274102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40.99967145</v>
      </c>
      <c r="R3" s="1">
        <f>I40</f>
        <v>0.007241513552</v>
      </c>
      <c r="S3" s="1">
        <f>I43</f>
        <v>27.57390336</v>
      </c>
      <c r="T3" s="1">
        <f>I42</f>
        <v>0.04042349103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400.0</v>
      </c>
      <c r="E4" s="3"/>
      <c r="F4" s="3"/>
      <c r="G4" s="10" t="s">
        <v>15</v>
      </c>
      <c r="H4" s="6" t="s">
        <v>16</v>
      </c>
      <c r="I4" s="6">
        <f>4/8</f>
        <v>0.5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600.0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ref="J5:J7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24.0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876970.6493</v>
      </c>
      <c r="R6" s="1">
        <f>D41</f>
        <v>1461274102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24.0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>24</f>
        <v>24</v>
      </c>
      <c r="K8" s="1">
        <f t="shared" si="1"/>
        <v>452.3893421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9">
        <v>80.0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9">
        <v>305.0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13" si="3">304/2</f>
        <v>152</v>
      </c>
      <c r="M12" s="16">
        <f t="shared" ref="M12:M21" si="4">L12-VLOOKUP($D$22, $G$3:$K$8, 4, FALSE)</f>
        <v>128</v>
      </c>
      <c r="N12" s="3">
        <f t="shared" ref="N12:N21" si="5">M12^2</f>
        <v>16384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9">
        <v>1.0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152</v>
      </c>
      <c r="M13" s="16">
        <f t="shared" si="4"/>
        <v>128</v>
      </c>
      <c r="N13" s="3">
        <f t="shared" si="5"/>
        <v>16384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68</v>
      </c>
      <c r="E14" s="3"/>
      <c r="F14" s="3"/>
      <c r="G14" s="3"/>
      <c r="H14" s="3"/>
      <c r="K14" s="3"/>
      <c r="L14" s="15">
        <f t="shared" ref="L14:L16" si="6">504/3</f>
        <v>168</v>
      </c>
      <c r="M14" s="16">
        <f t="shared" si="4"/>
        <v>144</v>
      </c>
      <c r="N14" s="3">
        <f t="shared" si="5"/>
        <v>20736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340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6"/>
        <v>168</v>
      </c>
      <c r="M15" s="16">
        <f t="shared" si="4"/>
        <v>144</v>
      </c>
      <c r="N15" s="3">
        <f t="shared" si="5"/>
        <v>20736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540</v>
      </c>
      <c r="E16" s="3"/>
      <c r="F16" s="3"/>
      <c r="G16" s="3"/>
      <c r="H16" s="3"/>
      <c r="I16" s="15"/>
      <c r="J16" s="15" t="s">
        <v>12</v>
      </c>
      <c r="K16" s="3"/>
      <c r="L16" s="15">
        <f t="shared" si="6"/>
        <v>168</v>
      </c>
      <c r="M16" s="16">
        <f t="shared" si="4"/>
        <v>144</v>
      </c>
      <c r="N16" s="3">
        <f t="shared" si="5"/>
        <v>20736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113.0973355</v>
      </c>
      <c r="E17" s="3"/>
      <c r="F17" s="3"/>
      <c r="G17" s="3"/>
      <c r="H17" s="3"/>
      <c r="I17" s="9">
        <v>3.0</v>
      </c>
      <c r="J17" s="9" t="s">
        <v>15</v>
      </c>
      <c r="K17" s="3"/>
      <c r="L17" s="9">
        <v>152.0</v>
      </c>
      <c r="M17" s="16">
        <f t="shared" si="4"/>
        <v>128</v>
      </c>
      <c r="N17" s="3">
        <f t="shared" si="5"/>
        <v>16384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183600</v>
      </c>
      <c r="E18" s="3"/>
      <c r="F18" s="3"/>
      <c r="G18" s="3"/>
      <c r="H18" s="3"/>
      <c r="I18" s="15"/>
      <c r="J18" s="15" t="s">
        <v>18</v>
      </c>
      <c r="K18" s="3"/>
      <c r="L18" s="9">
        <v>152.0</v>
      </c>
      <c r="M18" s="16">
        <f t="shared" si="4"/>
        <v>128</v>
      </c>
      <c r="N18" s="3">
        <f t="shared" si="5"/>
        <v>16384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168.0</v>
      </c>
      <c r="M19" s="16">
        <f t="shared" si="4"/>
        <v>144</v>
      </c>
      <c r="N19" s="3">
        <f t="shared" si="5"/>
        <v>20736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9">
        <v>168.0</v>
      </c>
      <c r="M20" s="16">
        <f t="shared" si="4"/>
        <v>144</v>
      </c>
      <c r="N20" s="3">
        <f t="shared" si="5"/>
        <v>20736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26.9</v>
      </c>
      <c r="J21" s="3"/>
      <c r="K21" s="3"/>
      <c r="L21" s="9">
        <v>168.0</v>
      </c>
      <c r="M21" s="16">
        <f t="shared" si="4"/>
        <v>144</v>
      </c>
      <c r="N21" s="3">
        <f t="shared" si="5"/>
        <v>20736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9" t="s">
        <v>26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10.0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9">
        <v>432.0</v>
      </c>
      <c r="E24" s="3"/>
      <c r="F24" s="3"/>
      <c r="G24" s="3" t="s">
        <v>59</v>
      </c>
      <c r="I24" s="3">
        <f>15000*SQRT(I21*100/9.8)*0.8*9.8/100</f>
        <v>19483.65469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4523.893421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0.02463994238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0.01884955592</v>
      </c>
      <c r="E27" s="3"/>
      <c r="F27" s="3"/>
      <c r="G27" s="3" t="s">
        <v>64</v>
      </c>
      <c r="I27" s="3">
        <f>(D18-SUM(N:N)/6)*(1-D14/2/D16)*(1-D14/2/D15)</f>
        <v>128137.1911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0.7155459964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0.01047197551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0.01247397083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0.02294594634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8118.189453</v>
      </c>
      <c r="E32" s="3"/>
      <c r="F32" s="3"/>
      <c r="G32" s="3" t="s">
        <v>72</v>
      </c>
      <c r="I32" s="3">
        <f>I28*I29*$D$12</f>
        <v>2.285419946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6.998513634</v>
      </c>
      <c r="F33" s="3"/>
      <c r="G33" s="3" t="s">
        <v>74</v>
      </c>
      <c r="I33" s="3">
        <f>I28*I30*D12</f>
        <v>2.722338465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0.09308101137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0.1690021739</v>
      </c>
      <c r="E35" s="3"/>
      <c r="F35" s="3"/>
      <c r="G35" s="3" t="s">
        <v>78</v>
      </c>
      <c r="I35" s="3">
        <f>MIN(I32, I33)/MAX(I32, I33)</f>
        <v>0.8395061728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1.169002174</v>
      </c>
      <c r="E36" s="3">
        <f>1+D35</f>
        <v>1.169002174</v>
      </c>
      <c r="F36" s="3"/>
      <c r="G36" s="3" t="s">
        <v>80</v>
      </c>
      <c r="I36" s="3">
        <f>6.8886-(0.6069+17.275*I35)*EXP(1)^(-4.989*I35)</f>
        <v>6.659358965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1.513338357</v>
      </c>
      <c r="E37" s="3"/>
      <c r="F37" s="3"/>
      <c r="G37" s="3" t="s">
        <v>82</v>
      </c>
      <c r="I37" s="3">
        <f>4.5/(5/I36*(0.9849-0.6306*EXP(1)^(-3.989*I35))-0.1)-5</f>
        <v>2.224805621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290560.9645</v>
      </c>
      <c r="E38" s="3"/>
      <c r="F38" s="3"/>
      <c r="G38" s="3" t="s">
        <v>84</v>
      </c>
      <c r="I38" s="3">
        <f>1+I36*I34*(0.1+0.9/(1+I37*I34))</f>
        <v>1.524151355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586409.6847</v>
      </c>
      <c r="E39" s="3"/>
      <c r="F39" s="3"/>
      <c r="G39" s="3" t="s">
        <v>0</v>
      </c>
      <c r="I39" s="3">
        <f>I21*I38</f>
        <v>40.99967145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876970.6493</v>
      </c>
      <c r="E40" s="3"/>
      <c r="F40" s="3"/>
      <c r="G40" s="3" t="s">
        <v>1</v>
      </c>
      <c r="I40" s="3">
        <f>I22*(1+5*(I39/I21-1))</f>
        <v>0.007241513552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1461274102</v>
      </c>
      <c r="E41" s="3"/>
      <c r="F41" s="3"/>
      <c r="G41" s="3" t="s">
        <v>86</v>
      </c>
      <c r="I41" s="3">
        <f>I24/(I24-I39/I40)</f>
        <v>1.409622001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0.04042349103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27.57390336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