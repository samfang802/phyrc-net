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LFURrECpg/Gj6ItuafLZYZdkFYyZ1dSpZfTy2w70Jw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<sst xmlns="http://schemas.openxmlformats.org/spreadsheetml/2006/main" count="109" uniqueCount="86">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</sst>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16</xdr:row>
      <xdr:rowOff>85725</xdr:rowOff>
    </xdr:from>
    <xdr:ext cx="8439150" cy="3571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36</xdr:row>
      <xdr:rowOff>0</xdr:rowOff>
    </xdr:from>
    <xdr:ext cx="8905875" cy="7800975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41.2060521</v>
      </c>
      <c r="B2" s="2">
        <f>Calculate!R3</f>
        <v>0.007608353068</v>
      </c>
      <c r="C2" s="2">
        <f>Calculate!S3</f>
        <v>29.08205278</v>
      </c>
      <c r="D2" s="2">
        <f>Calculate!T3</f>
        <v>0.0391068692</v>
      </c>
      <c r="E2" s="2">
        <f>Calculate!Q6</f>
        <v>542409.6565</v>
      </c>
      <c r="F2" s="2">
        <f>Calculate!R6</f>
        <v>965086524.6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41.2060521</v>
      </c>
      <c r="R3" s="1">
        <f>I40</f>
        <v>0.007608353068</v>
      </c>
      <c r="S3" s="1">
        <f>I43</f>
        <v>29.08205278</v>
      </c>
      <c r="T3" s="1">
        <f>I42</f>
        <v>0.0391068692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542409.6565</v>
      </c>
      <c r="R6" s="1">
        <f>D41</f>
        <v>965086524.6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54.0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41.3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26.4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19301.73049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81291.65821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0.7921029135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0.007203647962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0.007203647962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0.01440729592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8042.387705</v>
      </c>
      <c r="E32" s="3"/>
      <c r="F32" s="3"/>
      <c r="G32" s="3" t="s">
        <v>71</v>
      </c>
      <c r="I32" s="3">
        <f>I28*I29*$D$12</f>
        <v>2.621921032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6.620152477</v>
      </c>
      <c r="F33" s="3"/>
      <c r="G33" s="3" t="s">
        <v>73</v>
      </c>
      <c r="I33" s="3">
        <f>I28*I30*D12</f>
        <v>2.621921032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0.09931519062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0.1658608696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1.16586087</v>
      </c>
      <c r="E36" s="3">
        <f>1+D35</f>
        <v>1.16586087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1.495179282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191382.9481</v>
      </c>
      <c r="E38" s="3"/>
      <c r="F38" s="3"/>
      <c r="G38" s="3" t="s">
        <v>83</v>
      </c>
      <c r="I38" s="3">
        <f>1+I36*I34*(0.1+0.9/(1+I37*I34))</f>
        <v>1.560835307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351026.7084</v>
      </c>
      <c r="E39" s="3"/>
      <c r="F39" s="3"/>
      <c r="G39" s="3" t="s">
        <v>0</v>
      </c>
      <c r="I39" s="3">
        <f>I21*I38</f>
        <v>41.2060521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542409.6565</v>
      </c>
      <c r="E40" s="3"/>
      <c r="F40" s="3"/>
      <c r="G40" s="3" t="s">
        <v>1</v>
      </c>
      <c r="I40" s="3">
        <f>I22*(1+5*(I39/I21-1))</f>
        <v>0.007608353068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965086524.6</v>
      </c>
      <c r="E41" s="3"/>
      <c r="F41" s="3"/>
      <c r="G41" s="3" t="s">
        <v>85</v>
      </c>
      <c r="I41" s="3">
        <f>I24/(I24-I39/I40)</f>
        <v>1.390030328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0.0391068692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29.08205278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