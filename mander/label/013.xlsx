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UCcwoAFWXdmpLkpb0krVb10lppcBSoAlVjxgBaDQXOk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<sst xmlns="http://schemas.openxmlformats.org/spreadsheetml/2006/main" count="109" uniqueCount="86">
  <si>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</si>
  <si>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</si>
  <si>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</si>
  <si>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</si>
  <si>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</si>
  <si>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</si>
  <si>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</si>
  <si>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</si>
  <si>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</si>
  <si>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</si>
  <si>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</si>
  <si>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</si>
  <si>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D8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</si>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</sst>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0" xfId="0" applyAlignment="1" applyFont="1">
      <alignment horizontal="center" readingOrder="0"/>
    </xf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7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7" y="112059"/>
              <a:ext cx="1925570" cy="4695285"/>
              <a:chOff x="13816853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4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6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3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4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09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5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1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2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152400</xdr:colOff>
      <xdr:row>16</xdr:row>
      <xdr:rowOff>171450</xdr:rowOff>
    </xdr:from>
    <xdr:ext cx="1762125" cy="21431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52.33580972</v>
      </c>
      <c r="B2" s="2">
        <f>Calculate!R3</f>
        <v>0.00476483164</v>
      </c>
      <c r="C2" s="2">
        <f>Calculate!S3</f>
        <v>26.0410155</v>
      </c>
      <c r="D2" s="2">
        <f>Calculate!T3</f>
        <v>0.02122982462</v>
      </c>
      <c r="E2" s="2">
        <f>Calculate!Q6</f>
        <v>595230.0133</v>
      </c>
      <c r="F2" s="2">
        <f>Calculate!R6</f>
        <v>1202696969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J3/25.4</f>
        <v>0.3149606299</v>
      </c>
      <c r="J3" s="9">
        <v>8.0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52.33580972</v>
      </c>
      <c r="R3" s="1">
        <f>I40</f>
        <v>0.00476483164</v>
      </c>
      <c r="S3" s="1">
        <f>I43</f>
        <v>26.0410155</v>
      </c>
      <c r="T3" s="1">
        <f>I42</f>
        <v>0.02122982462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400.0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400.0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13.0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595230.0133</v>
      </c>
      <c r="R6" s="1">
        <f>D41</f>
        <v>1202696969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13.0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81.0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15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372.0</v>
      </c>
      <c r="E12" s="3"/>
      <c r="F12" s="3"/>
      <c r="G12" s="3"/>
      <c r="H12" s="3"/>
      <c r="I12" s="10">
        <v>0.0</v>
      </c>
      <c r="J12" s="16" t="s">
        <v>14</v>
      </c>
      <c r="K12" s="3"/>
      <c r="L12" s="10">
        <v>114.0</v>
      </c>
      <c r="M12" s="17">
        <f t="shared" ref="M12:M23" si="3">L12-VLOOKUP($D$22, $G$3:$K$8, 4, FALSE)</f>
        <v>98.125</v>
      </c>
      <c r="N12" s="3">
        <f t="shared" ref="N12:N23" si="4">M12^2</f>
        <v>9628.515625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0">
        <v>0.0</v>
      </c>
      <c r="J13" s="16" t="s">
        <v>17</v>
      </c>
      <c r="K13" s="3"/>
      <c r="L13" s="10">
        <v>114.0</v>
      </c>
      <c r="M13" s="17">
        <f t="shared" si="3"/>
        <v>98.125</v>
      </c>
      <c r="N13" s="3">
        <f t="shared" si="4"/>
        <v>9628.515625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65</v>
      </c>
      <c r="E14" s="3"/>
      <c r="F14" s="3"/>
      <c r="G14" s="3"/>
      <c r="H14" s="3"/>
      <c r="K14" s="3"/>
      <c r="L14" s="10">
        <v>114.0</v>
      </c>
      <c r="M14" s="17">
        <f t="shared" si="3"/>
        <v>98.125</v>
      </c>
      <c r="N14" s="3">
        <f t="shared" si="4"/>
        <v>9628.515625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8">
        <f>D4-2*D7-VLOOKUP(D11, G3:K8, 4,FALSE )</f>
        <v>366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0">
        <v>114.0</v>
      </c>
      <c r="M15" s="17">
        <f t="shared" si="3"/>
        <v>98.125</v>
      </c>
      <c r="N15" s="3">
        <f t="shared" si="4"/>
        <v>9628.515625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8">
        <f>D5-2*D6-VLOOKUP(D11, G3:K8, 4,FALSE )</f>
        <v>366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v>114.0</v>
      </c>
      <c r="M16" s="17">
        <f t="shared" si="3"/>
        <v>98.125</v>
      </c>
      <c r="N16" s="3">
        <f t="shared" si="4"/>
        <v>9628.515625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100.5309649</v>
      </c>
      <c r="E17" s="3"/>
      <c r="F17" s="3"/>
      <c r="G17" s="3"/>
      <c r="H17" s="3"/>
      <c r="I17" s="10">
        <v>0.0</v>
      </c>
      <c r="J17" s="16" t="s">
        <v>14</v>
      </c>
      <c r="K17" s="3"/>
      <c r="L17" s="10">
        <v>114.0</v>
      </c>
      <c r="M17" s="17">
        <f t="shared" si="3"/>
        <v>98.125</v>
      </c>
      <c r="N17" s="3">
        <f t="shared" si="4"/>
        <v>9628.515625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133956</v>
      </c>
      <c r="E18" s="3"/>
      <c r="F18" s="3"/>
      <c r="G18" s="3"/>
      <c r="H18" s="3"/>
      <c r="I18" s="10">
        <v>0.0</v>
      </c>
      <c r="J18" s="16" t="s">
        <v>17</v>
      </c>
      <c r="K18" s="3"/>
      <c r="L18" s="10">
        <v>114.0</v>
      </c>
      <c r="M18" s="17">
        <f t="shared" si="3"/>
        <v>98.125</v>
      </c>
      <c r="N18" s="3">
        <f t="shared" si="4"/>
        <v>9628.515625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114.0</v>
      </c>
      <c r="M19" s="17">
        <f t="shared" si="3"/>
        <v>98.125</v>
      </c>
      <c r="N19" s="3">
        <f t="shared" si="4"/>
        <v>9628.515625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0">
        <v>114.0</v>
      </c>
      <c r="M20" s="17">
        <f t="shared" si="3"/>
        <v>98.125</v>
      </c>
      <c r="N20" s="3">
        <f t="shared" si="4"/>
        <v>9628.515625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41.0</v>
      </c>
      <c r="J21" s="3"/>
      <c r="K21" s="3"/>
      <c r="L21" s="10">
        <v>114.0</v>
      </c>
      <c r="M21" s="17">
        <f t="shared" si="3"/>
        <v>98.125</v>
      </c>
      <c r="N21" s="3">
        <f t="shared" si="4"/>
        <v>9628.515625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17</v>
      </c>
      <c r="E22" s="3"/>
      <c r="F22" s="3"/>
      <c r="G22" s="3" t="s">
        <v>54</v>
      </c>
      <c r="I22" s="3">
        <v>0.002</v>
      </c>
      <c r="J22" s="3"/>
      <c r="K22" s="3"/>
      <c r="L22" s="10">
        <v>114.0</v>
      </c>
      <c r="M22" s="17">
        <f t="shared" si="3"/>
        <v>98.125</v>
      </c>
      <c r="N22" s="3">
        <f t="shared" si="4"/>
        <v>9628.515625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0">
        <v>114.0</v>
      </c>
      <c r="M23" s="17">
        <f t="shared" si="3"/>
        <v>98.125</v>
      </c>
      <c r="N23" s="3">
        <f t="shared" si="4"/>
        <v>9628.515625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474.0</v>
      </c>
      <c r="E24" s="3"/>
      <c r="F24" s="3"/>
      <c r="G24" s="3" t="s">
        <v>58</v>
      </c>
      <c r="I24" s="3">
        <f>15000*SQRT(I21*100/9.8)*0.8*9.8/100</f>
        <v>24053.93939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2375.191308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0.01773113043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0.01484494568</v>
      </c>
      <c r="E27" s="3"/>
      <c r="F27" s="3"/>
      <c r="G27" s="3" t="s">
        <v>63</v>
      </c>
      <c r="I27" s="3">
        <f>(D18-SUM(N:N)/6)*(1-D14/2/D16)*(1-D14/2/D15)</f>
        <v>95233.34063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0.7237631504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0.006782093025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0.006782093025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0.01356418605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10022.47474</v>
      </c>
      <c r="E32" s="3"/>
      <c r="F32" s="3"/>
      <c r="G32" s="3" t="s">
        <v>71</v>
      </c>
      <c r="I32" s="3">
        <f>I28*I29*$D$12</f>
        <v>1.826009993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5.045877211</v>
      </c>
      <c r="F33" s="3"/>
      <c r="G33" s="3" t="s">
        <v>73</v>
      </c>
      <c r="I33" s="3">
        <f>I28*I30*D12</f>
        <v>1.826009993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0.0445368291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0.2575869565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1.257586957</v>
      </c>
      <c r="E36" s="3">
        <f>1+D35</f>
        <v>1.257586957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2.009900386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257267.2494</v>
      </c>
      <c r="E38" s="3"/>
      <c r="F38" s="3"/>
      <c r="G38" s="3" t="s">
        <v>83</v>
      </c>
      <c r="I38" s="3">
        <f>1+I36*I34*(0.1+0.9/(1+I37*I34))</f>
        <v>1.276483164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337962.7638</v>
      </c>
      <c r="E39" s="3"/>
      <c r="F39" s="3"/>
      <c r="G39" s="3" t="s">
        <v>0</v>
      </c>
      <c r="I39" s="3">
        <f>I21*I38</f>
        <v>52.33580972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595230.0133</v>
      </c>
      <c r="E40" s="3"/>
      <c r="F40" s="3"/>
      <c r="G40" s="3" t="s">
        <v>1</v>
      </c>
      <c r="I40" s="3">
        <f>I22*(1+5*(I39/I21-1))</f>
        <v>0.00476483164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1202696969</v>
      </c>
      <c r="E41" s="3"/>
      <c r="F41" s="3"/>
      <c r="G41" s="3" t="s">
        <v>85</v>
      </c>
      <c r="I41" s="3">
        <f>I24/(I24-I39/I40)</f>
        <v>1.840369218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0.02122982462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26.0410155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