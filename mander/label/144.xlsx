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lpUNZHdAoL4Y9PRpTQkmiFG0c7PXIb78z3647taItg8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<sst xmlns="http://schemas.openxmlformats.org/spreadsheetml/2006/main" count="109" uniqueCount="87">
  <si>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</si>
  <si>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</si>
  <si>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</si>
  <si>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</si>
  <si>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</si>
  <si>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</si>
  <si>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</si>
  <si>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</si>
  <si>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</si>
  <si>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</si>
  <si>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</si>
  <si>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</si>
  <si>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</si>
  <si>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</si>
  <si>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</si>
  <si>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</si>
  <si>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</si>
  <si>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</si>
  <si>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</si>
  <si>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</si>
  <si>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</si>
  <si>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</si>
  <si>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</si>
  <si>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</si>
  <si>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</si>
  <si>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</si>
  <si>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#10</t>
  </si>
  <si>
    <t>D32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</si>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</sst>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</xdr:row>
      <xdr:rowOff>0</xdr:rowOff>
    </xdr:from>
    <xdr:ext cx="6734175" cy="18383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26.15830577</v>
      </c>
      <c r="B2" s="2">
        <f>Calculate!R3</f>
        <v>0.002258159125</v>
      </c>
      <c r="C2" s="2">
        <f>Calculate!S3</f>
        <v>5.196677773</v>
      </c>
      <c r="D2" s="2">
        <f>Calculate!T3</f>
        <v>0.0113690802</v>
      </c>
      <c r="E2" s="2">
        <f>Calculate!Q6</f>
        <v>252676.1782</v>
      </c>
      <c r="F2" s="2">
        <f>Calculate!R6</f>
        <v>1239158440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26.15830577</v>
      </c>
      <c r="R3" s="1">
        <f>I40</f>
        <v>0.002258159125</v>
      </c>
      <c r="S3" s="1">
        <f>I43</f>
        <v>5.196677773</v>
      </c>
      <c r="T3" s="1">
        <f>I42</f>
        <v>0.0113690802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457.2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457.2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38.1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252676.1782</v>
      </c>
      <c r="R6" s="1">
        <f>D41</f>
        <v>1239158440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38.1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12" t="s">
        <v>27</v>
      </c>
      <c r="I8" s="6">
        <f>10/8</f>
        <v>1.25</v>
      </c>
      <c r="J8" s="6">
        <f t="shared" si="1"/>
        <v>31.75</v>
      </c>
      <c r="K8" s="1">
        <f t="shared" si="2"/>
        <v>791.7304361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3"/>
      <c r="D10" s="9">
        <v>457.2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3"/>
      <c r="D11" s="9" t="s">
        <v>12</v>
      </c>
      <c r="E11" s="3"/>
      <c r="F11" s="3"/>
      <c r="G11" s="3"/>
      <c r="H11" s="3"/>
      <c r="I11" s="9">
        <v>4.0</v>
      </c>
      <c r="J11" s="14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3"/>
      <c r="D12" s="9">
        <v>399.9</v>
      </c>
      <c r="E12" s="3"/>
      <c r="F12" s="3"/>
      <c r="G12" s="3"/>
      <c r="H12" s="3"/>
      <c r="I12" s="14"/>
      <c r="J12" s="14" t="s">
        <v>15</v>
      </c>
      <c r="K12" s="3"/>
      <c r="L12" s="14">
        <f t="shared" ref="L12:L19" si="3">13*25.4/2</f>
        <v>165.1</v>
      </c>
      <c r="M12" s="15">
        <f t="shared" ref="M12:M19" si="4">L12-VLOOKUP($D$22, $G$3:$K$8, 4, FALSE)</f>
        <v>133.35</v>
      </c>
      <c r="N12" s="3">
        <f t="shared" ref="N12:N19" si="5">M12^2</f>
        <v>17782.2225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3"/>
      <c r="D13" s="9">
        <v>2.0</v>
      </c>
      <c r="E13" s="3"/>
      <c r="F13" s="3"/>
      <c r="G13" s="3"/>
      <c r="H13" s="3"/>
      <c r="I13" s="14"/>
      <c r="J13" s="14" t="s">
        <v>18</v>
      </c>
      <c r="K13" s="3"/>
      <c r="L13" s="14">
        <f t="shared" si="3"/>
        <v>165.1</v>
      </c>
      <c r="M13" s="15">
        <f t="shared" si="4"/>
        <v>133.35</v>
      </c>
      <c r="N13" s="3">
        <f t="shared" si="5"/>
        <v>17782.2225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438.15</v>
      </c>
      <c r="E14" s="3"/>
      <c r="F14" s="3"/>
      <c r="G14" s="3"/>
      <c r="H14" s="3"/>
      <c r="K14" s="3"/>
      <c r="L14" s="14">
        <f t="shared" si="3"/>
        <v>165.1</v>
      </c>
      <c r="M14" s="15">
        <f t="shared" si="4"/>
        <v>133.35</v>
      </c>
      <c r="N14" s="3">
        <f t="shared" si="5"/>
        <v>17782.2225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6">
        <f>D4-2*D7-VLOOKUP(D11, G3:K8, 4,FALSE )</f>
        <v>371.475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4">
        <f t="shared" si="3"/>
        <v>165.1</v>
      </c>
      <c r="M15" s="15">
        <f t="shared" si="4"/>
        <v>133.35</v>
      </c>
      <c r="N15" s="3">
        <f t="shared" si="5"/>
        <v>17782.2225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6">
        <f>D5-2*D6-VLOOKUP(D11, G3:K8, 4,FALSE )</f>
        <v>371.475</v>
      </c>
      <c r="E16" s="3"/>
      <c r="F16" s="3"/>
      <c r="G16" s="3"/>
      <c r="H16" s="3"/>
      <c r="I16" s="9">
        <v>4.0</v>
      </c>
      <c r="J16" s="14" t="s">
        <v>12</v>
      </c>
      <c r="K16" s="3"/>
      <c r="L16" s="14">
        <f t="shared" si="3"/>
        <v>165.1</v>
      </c>
      <c r="M16" s="15">
        <f t="shared" si="4"/>
        <v>133.35</v>
      </c>
      <c r="N16" s="3">
        <f t="shared" si="5"/>
        <v>17782.2225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142.5114785</v>
      </c>
      <c r="E17" s="3"/>
      <c r="F17" s="3"/>
      <c r="G17" s="3"/>
      <c r="H17" s="3"/>
      <c r="I17" s="14"/>
      <c r="J17" s="14" t="s">
        <v>15</v>
      </c>
      <c r="K17" s="3"/>
      <c r="L17" s="14">
        <f t="shared" si="3"/>
        <v>165.1</v>
      </c>
      <c r="M17" s="15">
        <f t="shared" si="4"/>
        <v>133.35</v>
      </c>
      <c r="N17" s="3">
        <f t="shared" si="5"/>
        <v>17782.2225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137993.6756</v>
      </c>
      <c r="E18" s="3"/>
      <c r="F18" s="3"/>
      <c r="G18" s="3"/>
      <c r="H18" s="3"/>
      <c r="I18" s="14"/>
      <c r="J18" s="14" t="s">
        <v>18</v>
      </c>
      <c r="K18" s="3"/>
      <c r="L18" s="14">
        <f t="shared" si="3"/>
        <v>165.1</v>
      </c>
      <c r="M18" s="15">
        <f t="shared" si="4"/>
        <v>133.35</v>
      </c>
      <c r="N18" s="3">
        <f t="shared" si="5"/>
        <v>17782.2225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4">
        <f t="shared" si="3"/>
        <v>165.1</v>
      </c>
      <c r="M19" s="15">
        <f t="shared" si="4"/>
        <v>133.35</v>
      </c>
      <c r="N19" s="3">
        <f t="shared" si="5"/>
        <v>17782.2225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25.5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3"/>
      <c r="D22" s="9" t="s">
        <v>26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8.0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3"/>
      <c r="D24" s="9">
        <v>331.0</v>
      </c>
      <c r="E24" s="3"/>
      <c r="F24" s="3"/>
      <c r="G24" s="3" t="s">
        <v>59</v>
      </c>
      <c r="I24" s="3">
        <f>15000*SQRT(I21*100/9.8)*0.8*9.8/100</f>
        <v>18969.87085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6333.843489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0.04589952011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0.03030085507</v>
      </c>
      <c r="E27" s="3"/>
      <c r="F27" s="3"/>
      <c r="G27" s="3" t="s">
        <v>64</v>
      </c>
      <c r="I27" s="3">
        <f>(D18-SUM(N:N)/6)*(1-D14/2/D16)*(1-D14/2/D15)</f>
        <v>19235.18454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0.1460975927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0.001678201204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0.001678201204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0.003356402408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7904.112853</v>
      </c>
      <c r="E32" s="3"/>
      <c r="F32" s="3"/>
      <c r="G32" s="3" t="s">
        <v>72</v>
      </c>
      <c r="I32" s="3">
        <f>I28*I29*$D$12</f>
        <v>0.09804794429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1.342225323</v>
      </c>
      <c r="E33" s="3">
        <f>D12*I31</f>
        <v>1.342225323</v>
      </c>
      <c r="F33" s="3"/>
      <c r="G33" s="3" t="s">
        <v>74</v>
      </c>
      <c r="I33" s="3">
        <f>I28*I30*D12</f>
        <v>0.09804794429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0.1633780258</v>
      </c>
      <c r="E34" s="3">
        <f>D33/12.5+0.305-0.083*3</f>
        <v>0.1633780258</v>
      </c>
      <c r="F34" s="3"/>
      <c r="G34" s="3" t="s">
        <v>76</v>
      </c>
      <c r="I34" s="3">
        <f>(I32+I33)/2/I21</f>
        <v>0.003845017423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0.1602065217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1.160206522</v>
      </c>
      <c r="E36" s="3">
        <f>1+D35</f>
        <v>1.160206522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0.9571919479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160066.8753</v>
      </c>
      <c r="E38" s="3"/>
      <c r="F38" s="3"/>
      <c r="G38" s="3" t="s">
        <v>84</v>
      </c>
      <c r="I38" s="3">
        <f>1+I36*I34*(0.1+0.9/(1+I37*I34))</f>
        <v>1.025815912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92609.30291</v>
      </c>
      <c r="E39" s="3"/>
      <c r="F39" s="3"/>
      <c r="G39" s="3" t="s">
        <v>0</v>
      </c>
      <c r="I39" s="3">
        <f>I21*I38</f>
        <v>26.15830577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252676.1782</v>
      </c>
      <c r="E40" s="3"/>
      <c r="F40" s="3"/>
      <c r="G40" s="3" t="s">
        <v>1</v>
      </c>
      <c r="I40" s="3">
        <f>I22*(1+5*(I39/I21-1))</f>
        <v>0.002258159125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1239158440</v>
      </c>
      <c r="E41" s="3"/>
      <c r="F41" s="3"/>
      <c r="G41" s="3" t="s">
        <v>86</v>
      </c>
      <c r="I41" s="3">
        <f>I24/(I24-I39/I40)</f>
        <v>2.568367755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0.0113690802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5.196677773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