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9VHs8OybfEUc1uc3UmDuDKYiF+bxApW4Ce1hMkVMiY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<sst xmlns="http://schemas.openxmlformats.org/spreadsheetml/2006/main" count="109" uniqueCount="85">
  <si>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</si>
  <si>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</si>
  <si>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</si>
  <si>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</si>
  <si>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</si>
  <si>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</si>
  <si>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</si>
  <si>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</si>
  <si>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</si>
  <si>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</si>
  <si>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</si>
  <si>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</si>
  <si>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</si>
  <si>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</si>
  <si>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</si>
  <si>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R12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</si>
  <si>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</si>
  <si>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</si>
  <si>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</si>
  <si>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</si>
  <si>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</si>
  <si>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</si>
  <si>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</si>
  <si>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</si>
  <si>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</si>
  <si>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DH24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</si>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</sst>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gif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3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238125</xdr:colOff>
      <xdr:row>18</xdr:row>
      <xdr:rowOff>114300</xdr:rowOff>
    </xdr:from>
    <xdr:ext cx="3095625" cy="35147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295275</xdr:colOff>
      <xdr:row>20</xdr:row>
      <xdr:rowOff>38100</xdr:rowOff>
    </xdr:from>
    <xdr:ext cx="3905250" cy="3190875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43.03892154</v>
      </c>
      <c r="B2" s="2">
        <f>Calculate!R3</f>
        <v>0.0103144347</v>
      </c>
      <c r="C2" s="2">
        <f>Calculate!S3</f>
        <v>32.20324949</v>
      </c>
      <c r="D2" s="2">
        <f>Calculate!T3</f>
        <v>0.05932433459</v>
      </c>
      <c r="E2" s="2">
        <f>Calculate!Q6</f>
        <v>1327129.916</v>
      </c>
      <c r="F2" s="2">
        <f>Calculate!R6</f>
        <v>1721486478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43.03892154</v>
      </c>
      <c r="R3" s="1">
        <f>I40</f>
        <v>0.0103144347</v>
      </c>
      <c r="S3" s="1">
        <f>I43</f>
        <v>32.20324949</v>
      </c>
      <c r="T3" s="1">
        <f>I42</f>
        <v>0.05932433459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550.0</v>
      </c>
      <c r="E4" s="3"/>
      <c r="F4" s="3"/>
      <c r="G4" s="10" t="s">
        <v>15</v>
      </c>
      <c r="H4" s="11" t="s">
        <v>15</v>
      </c>
      <c r="I4" s="6">
        <f>J4/25.4</f>
        <v>0.4724409449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550.0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7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38.0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1327129.916</v>
      </c>
      <c r="R6" s="1">
        <f>D41</f>
        <v>1721486478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38.0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11" t="s">
        <v>25</v>
      </c>
      <c r="I8" s="6">
        <f>J8/25.4</f>
        <v>0.9448818898</v>
      </c>
      <c r="J8" s="11">
        <v>24.0</v>
      </c>
      <c r="K8" s="1">
        <f t="shared" si="1"/>
        <v>452.3893421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9">
        <v>62.0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9">
        <v>294.0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v>142.0</v>
      </c>
      <c r="M12" s="16">
        <f t="shared" ref="M12:M23" si="3">L12-VLOOKUP($D$22, $G$3:$K$8, 4, FALSE)</f>
        <v>118</v>
      </c>
      <c r="N12" s="3">
        <f t="shared" ref="N12:N23" si="4">M12^2</f>
        <v>13924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9">
        <v>142.0</v>
      </c>
      <c r="M13" s="16">
        <f t="shared" si="3"/>
        <v>118</v>
      </c>
      <c r="N13" s="3">
        <f t="shared" si="4"/>
        <v>13924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38</v>
      </c>
      <c r="E14" s="3"/>
      <c r="F14" s="3"/>
      <c r="G14" s="3"/>
      <c r="H14" s="3"/>
      <c r="K14" s="3"/>
      <c r="L14" s="9">
        <v>142.0</v>
      </c>
      <c r="M14" s="16">
        <f t="shared" si="3"/>
        <v>118</v>
      </c>
      <c r="N14" s="3">
        <f t="shared" si="4"/>
        <v>13924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462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9">
        <v>142.0</v>
      </c>
      <c r="M15" s="16">
        <f t="shared" si="3"/>
        <v>118</v>
      </c>
      <c r="N15" s="3">
        <f t="shared" si="4"/>
        <v>13924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462</v>
      </c>
      <c r="E16" s="3"/>
      <c r="F16" s="3"/>
      <c r="G16" s="3"/>
      <c r="H16" s="3"/>
      <c r="I16" s="15"/>
      <c r="J16" s="15" t="s">
        <v>12</v>
      </c>
      <c r="K16" s="3"/>
      <c r="L16" s="9">
        <v>142.0</v>
      </c>
      <c r="M16" s="16">
        <f t="shared" si="3"/>
        <v>118</v>
      </c>
      <c r="N16" s="3">
        <f t="shared" si="4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226.1946711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v>142.0</v>
      </c>
      <c r="M17" s="16">
        <f t="shared" si="3"/>
        <v>118</v>
      </c>
      <c r="N17" s="3">
        <f t="shared" si="4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213444</v>
      </c>
      <c r="E18" s="3"/>
      <c r="F18" s="3"/>
      <c r="G18" s="3"/>
      <c r="H18" s="3"/>
      <c r="I18" s="15"/>
      <c r="J18" s="15" t="s">
        <v>17</v>
      </c>
      <c r="K18" s="3"/>
      <c r="L18" s="9">
        <v>142.0</v>
      </c>
      <c r="M18" s="16">
        <f t="shared" si="3"/>
        <v>118</v>
      </c>
      <c r="N18" s="3">
        <f t="shared" si="4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142.0</v>
      </c>
      <c r="M19" s="16">
        <f t="shared" si="3"/>
        <v>118</v>
      </c>
      <c r="N19" s="3">
        <f t="shared" si="4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9">
        <v>142.0</v>
      </c>
      <c r="M20" s="16">
        <f t="shared" si="3"/>
        <v>118</v>
      </c>
      <c r="N20" s="3">
        <f t="shared" si="4"/>
        <v>13924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9">
        <v>23.5</v>
      </c>
      <c r="J21" s="3"/>
      <c r="K21" s="3"/>
      <c r="L21" s="9">
        <v>142.0</v>
      </c>
      <c r="M21" s="16">
        <f t="shared" si="3"/>
        <v>118</v>
      </c>
      <c r="N21" s="3">
        <f t="shared" si="4"/>
        <v>13924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9" t="s">
        <v>25</v>
      </c>
      <c r="E22" s="3"/>
      <c r="F22" s="3"/>
      <c r="G22" s="3" t="s">
        <v>53</v>
      </c>
      <c r="I22" s="3">
        <v>0.002</v>
      </c>
      <c r="J22" s="3"/>
      <c r="K22" s="3"/>
      <c r="L22" s="9">
        <v>142.0</v>
      </c>
      <c r="M22" s="16">
        <f t="shared" si="3"/>
        <v>118</v>
      </c>
      <c r="N22" s="3">
        <f t="shared" si="4"/>
        <v>13924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9">
        <v>12.0</v>
      </c>
      <c r="E23" s="3"/>
      <c r="F23" s="3"/>
      <c r="G23" s="3" t="s">
        <v>55</v>
      </c>
      <c r="I23" s="3">
        <v>0.005</v>
      </c>
      <c r="J23" s="3"/>
      <c r="K23" s="3"/>
      <c r="L23" s="9">
        <v>142.0</v>
      </c>
      <c r="M23" s="16">
        <f t="shared" si="3"/>
        <v>118</v>
      </c>
      <c r="N23" s="3">
        <f t="shared" si="4"/>
        <v>13924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9">
        <v>375.0</v>
      </c>
      <c r="E24" s="3"/>
      <c r="F24" s="3"/>
      <c r="G24" s="3" t="s">
        <v>57</v>
      </c>
      <c r="I24" s="3">
        <f>15000*SQRT(I21*100/9.8)*0.8*9.8/100</f>
        <v>18210.76605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5428.672105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0.02543370676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0.01794602349</v>
      </c>
      <c r="E27" s="3"/>
      <c r="F27" s="3"/>
      <c r="G27" s="3" t="s">
        <v>62</v>
      </c>
      <c r="I27" s="3">
        <f>(D18-SUM(N:N)/6)*(1-D14/2/D16)*(1-D14/2/D15)</f>
        <v>170644.4285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0.8203454537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0.01579351145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0.01579351145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0.03158702291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7587.819186</v>
      </c>
      <c r="E32" s="3"/>
      <c r="F32" s="3"/>
      <c r="G32" s="3" t="s">
        <v>70</v>
      </c>
      <c r="I32" s="3">
        <f>I28*I29*$D$12</f>
        <v>3.809103784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9.286584736</v>
      </c>
      <c r="F33" s="3"/>
      <c r="G33" s="3" t="s">
        <v>72</v>
      </c>
      <c r="I33" s="3">
        <f>I28*I30*D12</f>
        <v>3.809103784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0.1620895227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0.1476413043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1.147641304</v>
      </c>
      <c r="E36" s="3">
        <f>1+D35</f>
        <v>1.147641304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1.38862405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336047.02</v>
      </c>
      <c r="E38" s="3"/>
      <c r="F38" s="3"/>
      <c r="G38" s="3" t="s">
        <v>82</v>
      </c>
      <c r="I38" s="3">
        <f>1+I36*I34*(0.1+0.9/(1+I37*I34))</f>
        <v>1.83144347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991082.8961</v>
      </c>
      <c r="E39" s="3"/>
      <c r="F39" s="3"/>
      <c r="G39" s="3" t="s">
        <v>0</v>
      </c>
      <c r="I39" s="3">
        <f>I21*I38</f>
        <v>43.03892154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1327129.916</v>
      </c>
      <c r="E40" s="3"/>
      <c r="F40" s="3"/>
      <c r="G40" s="3" t="s">
        <v>1</v>
      </c>
      <c r="I40" s="3">
        <f>I22*(1+5*(I39/I21-1))</f>
        <v>0.0103144347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1721486478</v>
      </c>
      <c r="E41" s="3"/>
      <c r="F41" s="3"/>
      <c r="G41" s="3" t="s">
        <v>84</v>
      </c>
      <c r="I41" s="3">
        <f>I24/(I24-I39/I40)</f>
        <v>1.297240722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0.05932433459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32.20324949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