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v0KGaIWRv38eUzw3XwALtElxmBAogOcHmcGxjQXuUDE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<sst xmlns="http://schemas.openxmlformats.org/spreadsheetml/2006/main" count="109" uniqueCount="87">
  <si>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</si>
  <si>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</si>
  <si>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</si>
  <si>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</si>
  <si>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</si>
  <si>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</si>
  <si>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</si>
  <si>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</si>
  <si>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</si>
  <si>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</si>
  <si>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</si>
  <si>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</si>
  <si>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</si>
  <si>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</si>
  <si>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</si>
  <si>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12mm</t>
  </si>
  <si>
    <t>D13</t>
  </si>
  <si>
    <t>Depth(z)</t>
  </si>
  <si>
    <t>#5</t>
  </si>
  <si>
    <t>D16</t>
  </si>
  <si>
    <t>Clear cover (y)</t>
  </si>
  <si>
    <t>20mm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</si>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</sst>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6838950" cy="65627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44.20040107</v>
      </c>
      <c r="B2" s="2">
        <f>Calculate!R3</f>
        <v>0.005812625333</v>
      </c>
      <c r="C2" s="2">
        <f>Calculate!S3</f>
        <v>26.64099594</v>
      </c>
      <c r="D2" s="2">
        <f>Calculate!T3</f>
        <v>0.02953557347</v>
      </c>
      <c r="E2" s="2">
        <f>Calculate!Q6</f>
        <v>1022552.099</v>
      </c>
      <c r="F2" s="2">
        <f>Calculate!R6</f>
        <v>2008836884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44.20040107</v>
      </c>
      <c r="R3" s="1">
        <f>I40</f>
        <v>0.005812625333</v>
      </c>
      <c r="S3" s="1">
        <f>I43</f>
        <v>26.64099594</v>
      </c>
      <c r="T3" s="1">
        <f>I42</f>
        <v>0.02953557347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550.0</v>
      </c>
      <c r="E4" s="3"/>
      <c r="F4" s="3"/>
      <c r="G4" s="10" t="s">
        <v>15</v>
      </c>
      <c r="H4" s="6" t="s">
        <v>16</v>
      </c>
      <c r="I4" s="6">
        <f>4/8</f>
        <v>0.5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550.0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40.0</v>
      </c>
      <c r="E6" s="3"/>
      <c r="F6" s="3"/>
      <c r="G6" s="10" t="s">
        <v>21</v>
      </c>
      <c r="H6" s="6" t="s">
        <v>22</v>
      </c>
      <c r="I6" s="6">
        <f>6/8</f>
        <v>0.75</v>
      </c>
      <c r="J6" s="11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1022552.099</v>
      </c>
      <c r="R6" s="1">
        <f>D41</f>
        <v>2008836884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40.0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ref="J7:J8" si="2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9">
        <v>110.0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9">
        <v>325.0</v>
      </c>
      <c r="E12" s="3"/>
      <c r="F12" s="3"/>
      <c r="G12" s="3"/>
      <c r="H12" s="3"/>
      <c r="I12" s="9">
        <v>4.0</v>
      </c>
      <c r="J12" s="9" t="s">
        <v>15</v>
      </c>
      <c r="K12" s="3"/>
      <c r="L12" s="15">
        <f t="shared" ref="L12:L23" si="3">426/3</f>
        <v>142</v>
      </c>
      <c r="M12" s="16">
        <f t="shared" ref="M12:M23" si="4">L12-VLOOKUP($D$22, $G$3:$K$8, 4, FALSE)</f>
        <v>122</v>
      </c>
      <c r="N12" s="3">
        <f t="shared" ref="N12:N23" si="5">M12^2</f>
        <v>14884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9">
        <v>1.0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142</v>
      </c>
      <c r="M13" s="16">
        <f t="shared" si="4"/>
        <v>122</v>
      </c>
      <c r="N13" s="3">
        <f t="shared" si="5"/>
        <v>14884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98</v>
      </c>
      <c r="E14" s="3"/>
      <c r="F14" s="3"/>
      <c r="G14" s="3"/>
      <c r="H14" s="3"/>
      <c r="K14" s="3"/>
      <c r="L14" s="15">
        <f t="shared" si="3"/>
        <v>142</v>
      </c>
      <c r="M14" s="16">
        <f t="shared" si="4"/>
        <v>122</v>
      </c>
      <c r="N14" s="3">
        <f t="shared" si="5"/>
        <v>14884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458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142</v>
      </c>
      <c r="M15" s="16">
        <f t="shared" si="4"/>
        <v>122</v>
      </c>
      <c r="N15" s="3">
        <f t="shared" si="5"/>
        <v>14884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458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142</v>
      </c>
      <c r="M16" s="16">
        <f t="shared" si="4"/>
        <v>122</v>
      </c>
      <c r="N16" s="3">
        <f t="shared" si="5"/>
        <v>14884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113.0973355</v>
      </c>
      <c r="E17" s="3"/>
      <c r="F17" s="3"/>
      <c r="G17" s="3"/>
      <c r="H17" s="3"/>
      <c r="I17" s="9">
        <v>4.0</v>
      </c>
      <c r="J17" s="9" t="s">
        <v>15</v>
      </c>
      <c r="K17" s="3"/>
      <c r="L17" s="15">
        <f t="shared" si="3"/>
        <v>142</v>
      </c>
      <c r="M17" s="16">
        <f t="shared" si="4"/>
        <v>122</v>
      </c>
      <c r="N17" s="3">
        <f t="shared" si="5"/>
        <v>14884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209764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142</v>
      </c>
      <c r="M18" s="16">
        <f t="shared" si="4"/>
        <v>122</v>
      </c>
      <c r="N18" s="3">
        <f t="shared" si="5"/>
        <v>14884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142</v>
      </c>
      <c r="M19" s="16">
        <f t="shared" si="4"/>
        <v>122</v>
      </c>
      <c r="N19" s="3">
        <f t="shared" si="5"/>
        <v>14884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15">
        <f t="shared" si="3"/>
        <v>142</v>
      </c>
      <c r="M20" s="16">
        <f t="shared" si="4"/>
        <v>122</v>
      </c>
      <c r="N20" s="3">
        <f t="shared" si="5"/>
        <v>14884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32.0</v>
      </c>
      <c r="J21" s="3"/>
      <c r="K21" s="3"/>
      <c r="L21" s="15">
        <f t="shared" si="3"/>
        <v>142</v>
      </c>
      <c r="M21" s="16">
        <f t="shared" si="4"/>
        <v>122</v>
      </c>
      <c r="N21" s="3">
        <f t="shared" si="5"/>
        <v>14884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L22" s="15">
        <f t="shared" si="3"/>
        <v>142</v>
      </c>
      <c r="M22" s="16">
        <f t="shared" si="4"/>
        <v>122</v>
      </c>
      <c r="N22" s="3">
        <f t="shared" si="5"/>
        <v>14884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12.0</v>
      </c>
      <c r="E23" s="3"/>
      <c r="F23" s="3"/>
      <c r="G23" s="3" t="s">
        <v>57</v>
      </c>
      <c r="I23" s="3">
        <v>0.005</v>
      </c>
      <c r="J23" s="3"/>
      <c r="K23" s="3"/>
      <c r="L23" s="15">
        <f t="shared" si="3"/>
        <v>142</v>
      </c>
      <c r="M23" s="16">
        <f t="shared" si="4"/>
        <v>122</v>
      </c>
      <c r="N23" s="3">
        <f t="shared" si="5"/>
        <v>14884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9">
        <v>511.0</v>
      </c>
      <c r="E24" s="3"/>
      <c r="F24" s="3"/>
      <c r="G24" s="3" t="s">
        <v>59</v>
      </c>
      <c r="I24" s="3">
        <f>15000*SQRT(I21*100/9.8)*0.8*9.8/100</f>
        <v>21250.50588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0.0179721553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0.01246251631</v>
      </c>
      <c r="E27" s="3"/>
      <c r="F27" s="3"/>
      <c r="G27" s="3" t="s">
        <v>64</v>
      </c>
      <c r="I27" s="3">
        <f>(D18-SUM(N:N)/6)*(1-D14/2/D16)*(1-D14/2/D15)</f>
        <v>143541.8417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0.6968250521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0.008979542321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0.008979542321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0.01795908464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8854.377448</v>
      </c>
      <c r="E32" s="3"/>
      <c r="F32" s="3"/>
      <c r="G32" s="3" t="s">
        <v>72</v>
      </c>
      <c r="I32" s="3">
        <f>I28*I29*$D$12</f>
        <v>2.033580265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5.836702508</v>
      </c>
      <c r="F33" s="3"/>
      <c r="G33" s="3" t="s">
        <v>74</v>
      </c>
      <c r="I33" s="3">
        <f>I28*I30*D12</f>
        <v>2.033580265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0.06354938327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0.2010434783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1.201043478</v>
      </c>
      <c r="E36" s="3">
        <f>1+D35</f>
        <v>1.201043478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1.695814325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410387.0666</v>
      </c>
      <c r="E38" s="3"/>
      <c r="F38" s="3"/>
      <c r="G38" s="3" t="s">
        <v>84</v>
      </c>
      <c r="I38" s="3">
        <f>1+I36*I34*(0.1+0.9/(1+I37*I34))</f>
        <v>1.381262533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612165.0325</v>
      </c>
      <c r="E39" s="3"/>
      <c r="F39" s="3"/>
      <c r="G39" s="3" t="s">
        <v>0</v>
      </c>
      <c r="I39" s="3">
        <f>I21*I38</f>
        <v>44.20040107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1022552.099</v>
      </c>
      <c r="E40" s="3"/>
      <c r="F40" s="3"/>
      <c r="G40" s="3" t="s">
        <v>1</v>
      </c>
      <c r="I40" s="3">
        <f>I22*(1+5*(I39/I21-1))</f>
        <v>0.005812625333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2008836884</v>
      </c>
      <c r="E41" s="3"/>
      <c r="F41" s="3"/>
      <c r="G41" s="3" t="s">
        <v>86</v>
      </c>
      <c r="I41" s="3">
        <f>I24/(I24-I39/I40)</f>
        <v>1.557235752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0.02953557347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26.64099594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