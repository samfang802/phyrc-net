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yK8tUAvFSBr4B8sEpgmOosfPXuTR+9a14NWzHK7KK/8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<sst xmlns="http://schemas.openxmlformats.org/spreadsheetml/2006/main" count="109" uniqueCount="87">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</sst>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5619750" cy="63627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35.17839075</v>
      </c>
      <c r="B2" s="2">
        <f>Calculate!R3</f>
        <v>0.002137864769</v>
      </c>
      <c r="C2" s="2">
        <f>Calculate!S3</f>
        <v>0.4064043698</v>
      </c>
      <c r="D2" s="2">
        <f>Calculate!T3</f>
        <v>0.01590891178</v>
      </c>
      <c r="E2" s="2">
        <f>Calculate!Q6</f>
        <v>110131.1252</v>
      </c>
      <c r="F2" s="2">
        <f>Calculate!R6</f>
        <v>320591844.6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35.17839075</v>
      </c>
      <c r="R3" s="1">
        <f>I40</f>
        <v>0.002137864769</v>
      </c>
      <c r="S3" s="1">
        <f>I43</f>
        <v>0.4064043698</v>
      </c>
      <c r="T3" s="1">
        <f>I42</f>
        <v>0.01590891178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305.0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152.0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35.0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110131.1252</v>
      </c>
      <c r="R6" s="1">
        <f>D41</f>
        <v>320591844.6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22.3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345.0</v>
      </c>
      <c r="E12" s="3"/>
      <c r="F12" s="3"/>
      <c r="G12" s="3"/>
      <c r="H12" s="3"/>
      <c r="I12" s="15"/>
      <c r="J12" s="15" t="s">
        <v>15</v>
      </c>
      <c r="K12" s="3"/>
      <c r="L12" s="15">
        <f>3*25.4</f>
        <v>76.2</v>
      </c>
      <c r="M12" s="16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>8*25.4</f>
        <v>203.2</v>
      </c>
      <c r="M13" s="16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120.65</v>
      </c>
      <c r="E14" s="3"/>
      <c r="F14" s="3"/>
      <c r="G14" s="3"/>
      <c r="H14" s="3"/>
      <c r="K14" s="3"/>
      <c r="L14" s="15">
        <f>3*25.4</f>
        <v>76.2</v>
      </c>
      <c r="M14" s="16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254.05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>8*25.4</f>
        <v>203.2</v>
      </c>
      <c r="M15" s="16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75.65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19218.8825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34.7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496.0</v>
      </c>
      <c r="E24" s="3"/>
      <c r="F24" s="3"/>
      <c r="G24" s="3" t="s">
        <v>59</v>
      </c>
      <c r="I24" s="3">
        <f>15000*SQRT(I21*100/9.8)*0.8*9.8/100</f>
        <v>22128.85899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0.05932144223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1054.512974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0.05832873411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0.006592568853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0.00196310897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0.008555677823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9220.357911</v>
      </c>
      <c r="E32" s="3"/>
      <c r="F32" s="3"/>
      <c r="G32" s="3" t="s">
        <v>72</v>
      </c>
      <c r="I32" s="3">
        <f>I28*I29*$D$12</f>
        <v>0.1326649875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2.951708849</v>
      </c>
      <c r="F33" s="3"/>
      <c r="G33" s="3" t="s">
        <v>74</v>
      </c>
      <c r="I33" s="3">
        <f>I28*I30*D12</f>
        <v>0.03950445309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0.002480827675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0.2180065217</v>
      </c>
      <c r="E35" s="3"/>
      <c r="F35" s="3"/>
      <c r="G35" s="3" t="s">
        <v>78</v>
      </c>
      <c r="I35" s="3">
        <f>MIN(I32, I33)/MAX(I32, I33)</f>
        <v>0.2977760283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1.218006522</v>
      </c>
      <c r="E36" s="3">
        <f>1+D35</f>
        <v>1.218006522</v>
      </c>
      <c r="F36" s="3"/>
      <c r="G36" s="3" t="s">
        <v>80</v>
      </c>
      <c r="I36" s="3">
        <f>6.8886-(0.6069+17.275*I35)*EXP(1)^(-4.989*I35)</f>
        <v>5.586776695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1.790848849</v>
      </c>
      <c r="E37" s="3"/>
      <c r="F37" s="3"/>
      <c r="G37" s="3" t="s">
        <v>82</v>
      </c>
      <c r="I37" s="3">
        <f>4.5/(5/I36*(0.9849-0.6306*EXP(1)^(-3.989*I35))-0.1)-5</f>
        <v>2.384429879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66419.00211</v>
      </c>
      <c r="E38" s="3"/>
      <c r="F38" s="3"/>
      <c r="G38" s="3" t="s">
        <v>84</v>
      </c>
      <c r="I38" s="3">
        <f>1+I36*I34*(0.1+0.9/(1+I37*I34))</f>
        <v>1.013786477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43712.12313</v>
      </c>
      <c r="E39" s="3"/>
      <c r="F39" s="3"/>
      <c r="G39" s="3" t="s">
        <v>0</v>
      </c>
      <c r="I39" s="3">
        <f>I21*I38</f>
        <v>35.17839075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110131.1252</v>
      </c>
      <c r="E40" s="3"/>
      <c r="F40" s="3"/>
      <c r="G40" s="3" t="s">
        <v>1</v>
      </c>
      <c r="I40" s="3">
        <f>I22*(1+5*(I39/I21-1))</f>
        <v>0.002137864769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320591844.6</v>
      </c>
      <c r="E41" s="3"/>
      <c r="F41" s="3"/>
      <c r="G41" s="3" t="s">
        <v>86</v>
      </c>
      <c r="I41" s="3">
        <f>I24/(I24-I39/I40)</f>
        <v>3.900086622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0.01590891178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0.4064043698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