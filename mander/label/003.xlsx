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nZNKFm0mPmg0bLx9XZLaBWJver6FWzebIP+REdNocKA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<sst xmlns="http://schemas.openxmlformats.org/spreadsheetml/2006/main" count="109" uniqueCount="86">
  <si>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</si>
  <si>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</si>
  <si>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</si>
  <si>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</si>
  <si>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</si>
  <si>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</si>
  <si>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</si>
  <si>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</si>
  <si>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</si>
  <si>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</si>
  <si>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</si>
  <si>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</si>
  <si>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</si>
  <si>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</si>
  <si>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</si>
  <si>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</si>
  <si>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</si>
  <si>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</si>
  <si>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</si>
  <si>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</si>
  <si>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</si>
  <si>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</si>
  <si>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</si>
  <si>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</si>
  <si>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</si>
  <si>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</si>
  <si>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DH24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</si>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</sst>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571500</xdr:colOff>
      <xdr:row>16</xdr:row>
      <xdr:rowOff>9525</xdr:rowOff>
    </xdr:from>
    <xdr:ext cx="4381500" cy="3190875"/>
    <xdr:pic>
      <xdr:nvPicPr>
        <xdr:cNvPr id="0" name="image3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142875</xdr:colOff>
      <xdr:row>16</xdr:row>
      <xdr:rowOff>76200</xdr:rowOff>
    </xdr:from>
    <xdr:ext cx="3095625" cy="3514725"/>
    <xdr:pic>
      <xdr:nvPicPr>
        <xdr:cNvPr id="0" name="image2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32.45256459</v>
      </c>
      <c r="B2" s="2">
        <f>Calculate!R3</f>
        <v>0.007164749808</v>
      </c>
      <c r="C2" s="2">
        <f>Calculate!S3</f>
        <v>23.88176336</v>
      </c>
      <c r="D2" s="2">
        <f>Calculate!T3</f>
        <v>0.03607105368</v>
      </c>
      <c r="E2" s="2">
        <f>Calculate!Q6</f>
        <v>836728.1794</v>
      </c>
      <c r="F2" s="2">
        <f>Calculate!R6</f>
        <v>1642769274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7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32.45256459</v>
      </c>
      <c r="R3" s="1">
        <f>I40</f>
        <v>0.007164749808</v>
      </c>
      <c r="S3" s="1">
        <f>I43</f>
        <v>23.88176336</v>
      </c>
      <c r="T3" s="1">
        <f>I42</f>
        <v>0.03607105368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550.0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550.0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40.0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836728.1794</v>
      </c>
      <c r="R6" s="1">
        <f>D41</f>
        <v>1642769274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12" t="s">
        <v>26</v>
      </c>
      <c r="I8" s="6">
        <f>J8/25.4</f>
        <v>0.9448818898</v>
      </c>
      <c r="J8" s="12">
        <v>24.0</v>
      </c>
      <c r="K8" s="1">
        <f t="shared" si="2"/>
        <v>452.3893421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3"/>
      <c r="D10" s="9">
        <v>75.0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3"/>
      <c r="D11" s="9" t="s">
        <v>12</v>
      </c>
      <c r="E11" s="3"/>
      <c r="F11" s="3"/>
      <c r="G11" s="3"/>
      <c r="H11" s="3"/>
      <c r="I11" s="9">
        <v>4.0</v>
      </c>
      <c r="J11" s="14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3"/>
      <c r="D12" s="9">
        <v>297.0</v>
      </c>
      <c r="E12" s="3"/>
      <c r="F12" s="3"/>
      <c r="G12" s="3"/>
      <c r="H12" s="3"/>
      <c r="I12" s="14"/>
      <c r="J12" s="14" t="s">
        <v>15</v>
      </c>
      <c r="K12" s="3"/>
      <c r="L12" s="9">
        <v>142.0</v>
      </c>
      <c r="M12" s="15">
        <f t="shared" ref="M12:M23" si="3">L12-VLOOKUP($D$22, $G$3:$K$8, 4, FALSE)</f>
        <v>118</v>
      </c>
      <c r="N12" s="3">
        <f t="shared" ref="N12:N23" si="4">M12^2</f>
        <v>13924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3"/>
      <c r="D13" s="9">
        <v>2.0</v>
      </c>
      <c r="E13" s="3"/>
      <c r="F13" s="3"/>
      <c r="G13" s="3"/>
      <c r="H13" s="3"/>
      <c r="I13" s="14"/>
      <c r="J13" s="14" t="s">
        <v>18</v>
      </c>
      <c r="K13" s="3"/>
      <c r="L13" s="9">
        <v>142.0</v>
      </c>
      <c r="M13" s="15">
        <f t="shared" si="3"/>
        <v>118</v>
      </c>
      <c r="N13" s="3">
        <f t="shared" si="4"/>
        <v>13924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55.95</v>
      </c>
      <c r="E14" s="3"/>
      <c r="F14" s="3"/>
      <c r="G14" s="3"/>
      <c r="H14" s="3"/>
      <c r="K14" s="3"/>
      <c r="L14" s="9">
        <v>142.0</v>
      </c>
      <c r="M14" s="15">
        <f t="shared" si="3"/>
        <v>118</v>
      </c>
      <c r="N14" s="3">
        <f t="shared" si="4"/>
        <v>13924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6">
        <f>D4-2*D7-VLOOKUP(D11, G3:K8, 4,FALSE )</f>
        <v>460.475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9">
        <v>142.0</v>
      </c>
      <c r="M15" s="15">
        <f t="shared" si="3"/>
        <v>118</v>
      </c>
      <c r="N15" s="3">
        <f t="shared" si="4"/>
        <v>13924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6">
        <f>D5-2*D6-VLOOKUP(D11, G3:K8, 4,FALSE )</f>
        <v>460.475</v>
      </c>
      <c r="E16" s="3"/>
      <c r="F16" s="3"/>
      <c r="G16" s="3"/>
      <c r="H16" s="3"/>
      <c r="I16" s="9">
        <v>4.0</v>
      </c>
      <c r="J16" s="14" t="s">
        <v>12</v>
      </c>
      <c r="K16" s="3"/>
      <c r="L16" s="9">
        <v>142.0</v>
      </c>
      <c r="M16" s="15">
        <f t="shared" si="3"/>
        <v>118</v>
      </c>
      <c r="N16" s="3">
        <f t="shared" si="4"/>
        <v>13924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142.5114785</v>
      </c>
      <c r="E17" s="3"/>
      <c r="F17" s="3"/>
      <c r="G17" s="3"/>
      <c r="H17" s="3"/>
      <c r="I17" s="14"/>
      <c r="J17" s="14" t="s">
        <v>15</v>
      </c>
      <c r="K17" s="3"/>
      <c r="L17" s="9">
        <v>142.0</v>
      </c>
      <c r="M17" s="15">
        <f t="shared" si="3"/>
        <v>118</v>
      </c>
      <c r="N17" s="3">
        <f t="shared" si="4"/>
        <v>13924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212037.2256</v>
      </c>
      <c r="E18" s="3"/>
      <c r="F18" s="3"/>
      <c r="G18" s="3"/>
      <c r="H18" s="3"/>
      <c r="I18" s="14"/>
      <c r="J18" s="14" t="s">
        <v>18</v>
      </c>
      <c r="K18" s="3"/>
      <c r="L18" s="9">
        <v>142.0</v>
      </c>
      <c r="M18" s="15">
        <f t="shared" si="3"/>
        <v>118</v>
      </c>
      <c r="N18" s="3">
        <f t="shared" si="4"/>
        <v>13924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142.0</v>
      </c>
      <c r="M19" s="15">
        <f t="shared" si="3"/>
        <v>118</v>
      </c>
      <c r="N19" s="3">
        <f t="shared" si="4"/>
        <v>13924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9">
        <v>142.0</v>
      </c>
      <c r="M20" s="15">
        <f t="shared" si="3"/>
        <v>118</v>
      </c>
      <c r="N20" s="3">
        <f t="shared" si="4"/>
        <v>13924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21.4</v>
      </c>
      <c r="J21" s="3"/>
      <c r="K21" s="3"/>
      <c r="L21" s="9">
        <v>142.0</v>
      </c>
      <c r="M21" s="15">
        <f t="shared" si="3"/>
        <v>118</v>
      </c>
      <c r="N21" s="3">
        <f t="shared" si="4"/>
        <v>13924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3"/>
      <c r="D22" s="9" t="s">
        <v>26</v>
      </c>
      <c r="E22" s="3"/>
      <c r="F22" s="3"/>
      <c r="G22" s="3" t="s">
        <v>54</v>
      </c>
      <c r="I22" s="3">
        <v>0.002</v>
      </c>
      <c r="J22" s="3"/>
      <c r="K22" s="3"/>
      <c r="L22" s="9">
        <v>142.0</v>
      </c>
      <c r="M22" s="15">
        <f t="shared" si="3"/>
        <v>118</v>
      </c>
      <c r="N22" s="3">
        <f t="shared" si="4"/>
        <v>13924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12.0</v>
      </c>
      <c r="E23" s="3"/>
      <c r="F23" s="3"/>
      <c r="G23" s="3" t="s">
        <v>56</v>
      </c>
      <c r="I23" s="3">
        <v>0.005</v>
      </c>
      <c r="J23" s="3"/>
      <c r="K23" s="3"/>
      <c r="L23" s="9">
        <v>142.0</v>
      </c>
      <c r="M23" s="15">
        <f t="shared" si="3"/>
        <v>118</v>
      </c>
      <c r="N23" s="3">
        <f t="shared" si="4"/>
        <v>13924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3"/>
      <c r="D24" s="9">
        <v>375.0</v>
      </c>
      <c r="E24" s="3"/>
      <c r="F24" s="3"/>
      <c r="G24" s="3" t="s">
        <v>58</v>
      </c>
      <c r="I24" s="3">
        <f>15000*SQRT(I21*100/9.8)*0.8*9.8/100</f>
        <v>17378.05513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5428.672105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0.02560244829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0.01794602349</v>
      </c>
      <c r="E27" s="3"/>
      <c r="F27" s="3"/>
      <c r="G27" s="3" t="s">
        <v>63</v>
      </c>
      <c r="I27" s="3">
        <f>(D18-SUM(N:N)/6)*(1-D14/2/D16)*(1-D14/2/D15)</f>
        <v>162489.1372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0.7864589069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0.008253012852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0.008253012852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0.0165060257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7240.856303</v>
      </c>
      <c r="E32" s="3"/>
      <c r="F32" s="3"/>
      <c r="G32" s="3" t="s">
        <v>71</v>
      </c>
      <c r="I32" s="3">
        <f>I28*I29*$D$12</f>
        <v>1.927724674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4.902289634</v>
      </c>
      <c r="F33" s="3"/>
      <c r="G33" s="3" t="s">
        <v>73</v>
      </c>
      <c r="I33" s="3">
        <f>I28*I30*D12</f>
        <v>1.927724674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0.09008059222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0.1344478261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1.134447826</v>
      </c>
      <c r="E36" s="3">
        <f>1+D35</f>
        <v>1.134447826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1.309893524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316994.2327</v>
      </c>
      <c r="E38" s="3"/>
      <c r="F38" s="3"/>
      <c r="G38" s="3" t="s">
        <v>83</v>
      </c>
      <c r="I38" s="3">
        <f>1+I36*I34*(0.1+0.9/(1+I37*I34))</f>
        <v>1.516474981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519733.9466</v>
      </c>
      <c r="E39" s="3"/>
      <c r="F39" s="3"/>
      <c r="G39" s="3" t="s">
        <v>0</v>
      </c>
      <c r="I39" s="3">
        <f>I21*I38</f>
        <v>32.45256459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836728.1794</v>
      </c>
      <c r="E40" s="3"/>
      <c r="F40" s="3"/>
      <c r="G40" s="3" t="s">
        <v>1</v>
      </c>
      <c r="I40" s="3">
        <f>I22*(1+5*(I39/I21-1))</f>
        <v>0.007164749808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1642769274</v>
      </c>
      <c r="E41" s="3"/>
      <c r="F41" s="3"/>
      <c r="G41" s="3" t="s">
        <v>85</v>
      </c>
      <c r="I41" s="3">
        <f>I24/(I24-I39/I40)</f>
        <v>1.352527419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0.03607105368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23.88176336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