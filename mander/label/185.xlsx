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Uj+lW3tH1kSdyhgxAFNx+GbnlSbRcENVOJAOaq0o/SA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<sst xmlns="http://schemas.openxmlformats.org/spreadsheetml/2006/main" count="109" uniqueCount="87">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</sst>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</xdr:row>
      <xdr:rowOff>0</xdr:rowOff>
    </xdr:from>
    <xdr:ext cx="5476875" cy="24003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53.16236303</v>
      </c>
      <c r="B2" s="2">
        <f>Calculate!R3</f>
        <v>0.005953376123</v>
      </c>
      <c r="C2" s="2">
        <f>Calculate!S3</f>
        <v>22.48348158</v>
      </c>
      <c r="D2" s="2">
        <f>Calculate!T3</f>
        <v>0.04954684195</v>
      </c>
      <c r="E2" s="2">
        <f>Calculate!Q6</f>
        <v>209053.106</v>
      </c>
      <c r="F2" s="2">
        <f>Calculate!R6</f>
        <v>298606233.3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53.16236303</v>
      </c>
      <c r="R3" s="1">
        <f>I40</f>
        <v>0.005953376123</v>
      </c>
      <c r="S3" s="1">
        <f>I43</f>
        <v>22.48348158</v>
      </c>
      <c r="T3" s="1">
        <f>I42</f>
        <v>0.04954684195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203.0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203.0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17.7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209053.106</v>
      </c>
      <c r="R6" s="1">
        <f>D41</f>
        <v>298606233.3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20.7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76.2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513.7</v>
      </c>
      <c r="E12" s="3"/>
      <c r="F12" s="3"/>
      <c r="G12" s="3"/>
      <c r="H12" s="3"/>
      <c r="I12" s="13"/>
      <c r="J12" s="13" t="s">
        <v>15</v>
      </c>
      <c r="K12" s="3"/>
      <c r="L12" s="13">
        <f>203-2*17.7-34.93</f>
        <v>132.67</v>
      </c>
      <c r="M12" s="14">
        <f t="shared" ref="M12:M15" si="3">L12-VLOOKUP($D$22, $G$3:$K$8, 4, FALSE)</f>
        <v>116.795</v>
      </c>
      <c r="N12" s="3">
        <f t="shared" ref="N12:N15" si="4">M12^2</f>
        <v>13641.07203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>203-2*20.7-34.93</f>
        <v>126.67</v>
      </c>
      <c r="M13" s="14">
        <f t="shared" si="3"/>
        <v>110.795</v>
      </c>
      <c r="N13" s="3">
        <f t="shared" si="4"/>
        <v>12275.53203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66.675</v>
      </c>
      <c r="E14" s="3"/>
      <c r="F14" s="3"/>
      <c r="G14" s="3"/>
      <c r="H14" s="3"/>
      <c r="K14" s="3"/>
      <c r="L14" s="13">
        <f>203-2*17.7-34.93</f>
        <v>132.67</v>
      </c>
      <c r="M14" s="14">
        <f t="shared" si="3"/>
        <v>116.795</v>
      </c>
      <c r="N14" s="3">
        <f t="shared" si="4"/>
        <v>13641.07203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152.075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>203-2*20.7-34.93</f>
        <v>126.67</v>
      </c>
      <c r="M15" s="14">
        <f t="shared" si="3"/>
        <v>110.795</v>
      </c>
      <c r="N15" s="3">
        <f t="shared" si="4"/>
        <v>12275.53203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158.075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24039.25563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38.1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572.3</v>
      </c>
      <c r="E24" s="3"/>
      <c r="F24" s="3"/>
      <c r="G24" s="3" t="s">
        <v>59</v>
      </c>
      <c r="I24" s="3">
        <f>15000*SQRT(I21*100/9.8)*0.8*9.8/100</f>
        <v>23187.65189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791.7304361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0.03293489817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0.01921256124</v>
      </c>
      <c r="E27" s="3"/>
      <c r="F27" s="3"/>
      <c r="G27" s="3" t="s">
        <v>64</v>
      </c>
      <c r="I27" s="3">
        <f>(D18-SUM(N:N)/6)*(1-D14/2/D16)*(1-D14/2/D15)</f>
        <v>9488.456531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0.4081491021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0.01183127868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0.01229807251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0.02412935118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9661.521619</v>
      </c>
      <c r="E32" s="3"/>
      <c r="F32" s="3"/>
      <c r="G32" s="3" t="s">
        <v>72</v>
      </c>
      <c r="I32" s="3">
        <f>I28*I29*$D$12</f>
        <v>2.480619167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12.3952477</v>
      </c>
      <c r="F33" s="3"/>
      <c r="G33" s="3" t="s">
        <v>74</v>
      </c>
      <c r="I33" s="3">
        <f>I28*I30*D12</f>
        <v>2.578490053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0.06639250944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0.2393673913</v>
      </c>
      <c r="E35" s="3"/>
      <c r="F35" s="3"/>
      <c r="G35" s="3" t="s">
        <v>78</v>
      </c>
      <c r="I35" s="3">
        <f>MIN(I32, I33)/MAX(I32, I33)</f>
        <v>0.9620433339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1.239367391</v>
      </c>
      <c r="E36" s="3">
        <f>1+D35</f>
        <v>1.239367391</v>
      </c>
      <c r="F36" s="3"/>
      <c r="G36" s="3" t="s">
        <v>80</v>
      </c>
      <c r="I36" s="3">
        <f>6.8886-(0.6069+17.275*I35)*EXP(1)^(-4.989*I35)</f>
        <v>6.746780874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1.909444916</v>
      </c>
      <c r="E37" s="3"/>
      <c r="F37" s="3"/>
      <c r="G37" s="3" t="s">
        <v>82</v>
      </c>
      <c r="I37" s="3">
        <f>4.5/(5/I36*(0.9849-0.6306*EXP(1)^(-3.989*I35))-0.1)-5</f>
        <v>2.259999734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62949.05242</v>
      </c>
      <c r="E38" s="3"/>
      <c r="F38" s="3"/>
      <c r="G38" s="3" t="s">
        <v>84</v>
      </c>
      <c r="I38" s="3">
        <f>1+I36*I34*(0.1+0.9/(1+I37*I34))</f>
        <v>1.395337612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146104.0535</v>
      </c>
      <c r="E39" s="3"/>
      <c r="F39" s="3"/>
      <c r="G39" s="3" t="s">
        <v>0</v>
      </c>
      <c r="I39" s="3">
        <f>I21*I38</f>
        <v>53.16236303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209053.106</v>
      </c>
      <c r="E40" s="3"/>
      <c r="F40" s="3"/>
      <c r="G40" s="3" t="s">
        <v>1</v>
      </c>
      <c r="I40" s="3">
        <f>I22*(1+5*(I39/I21-1))</f>
        <v>0.005953376123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298606233.3</v>
      </c>
      <c r="E41" s="3"/>
      <c r="F41" s="3"/>
      <c r="G41" s="3" t="s">
        <v>86</v>
      </c>
      <c r="I41" s="3">
        <f>I24/(I24-I39/I40)</f>
        <v>1.626305709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0.04954684195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22.48348158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