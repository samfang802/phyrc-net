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xUVTj+ZU5RBohuxKIs5uGD3C7/NWrqu0b7Le0qpJrr4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<sst xmlns="http://schemas.openxmlformats.org/spreadsheetml/2006/main" count="109" uniqueCount="86">
  <si>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</si>
  <si>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</si>
  <si>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</si>
  <si>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</si>
  <si>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</si>
  <si>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</si>
  <si>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</si>
  <si>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</si>
  <si>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</si>
  <si>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</si>
  <si>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</si>
  <si>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</si>
  <si>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</si>
  <si>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</si>
  <si>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</si>
  <si>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</si>
  <si>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</si>
  <si>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</si>
  <si>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</si>
  <si>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</si>
  <si>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</si>
  <si>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20M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</si>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</sst>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7124700" cy="46196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158.3309002</v>
      </c>
      <c r="B2" s="2">
        <f>Calculate!R3</f>
        <v>0.007553133613</v>
      </c>
      <c r="C2" s="2">
        <f>Calculate!S3</f>
        <v>36.98125865</v>
      </c>
      <c r="D2" s="2">
        <f>Calculate!T3</f>
        <v>0.04609595835</v>
      </c>
      <c r="E2" s="2">
        <f>Calculate!Q6</f>
        <v>1331717.066</v>
      </c>
      <c r="F2" s="2">
        <f>Calculate!R6</f>
        <v>1101838322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5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158.3309002</v>
      </c>
      <c r="R3" s="1">
        <f>I40</f>
        <v>0.007553133613</v>
      </c>
      <c r="S3" s="1">
        <f>I43</f>
        <v>36.98125865</v>
      </c>
      <c r="T3" s="1">
        <f>I42</f>
        <v>0.04609595835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11.5</v>
      </c>
      <c r="E6" s="3"/>
      <c r="F6" s="3"/>
      <c r="G6" s="11" t="s">
        <v>21</v>
      </c>
      <c r="H6" s="12" t="s">
        <v>21</v>
      </c>
      <c r="I6" s="6">
        <f>19.5/25.4</f>
        <v>0.7677165354</v>
      </c>
      <c r="J6" s="6">
        <f>19.5</f>
        <v>19.5</v>
      </c>
      <c r="K6" s="1">
        <f t="shared" si="2"/>
        <v>298.6476516</v>
      </c>
      <c r="L6" s="3"/>
      <c r="M6" s="3"/>
      <c r="N6" s="3"/>
      <c r="O6" s="3"/>
      <c r="P6" s="3"/>
      <c r="Q6" s="1">
        <f>D40</f>
        <v>1331717.066</v>
      </c>
      <c r="R6" s="1">
        <f>D41</f>
        <v>1101838322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11.5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ref="J7:J8" si="3">I7*25.4</f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3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90.0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18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463.0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19" si="4">247.5/2</f>
        <v>123.75</v>
      </c>
      <c r="M12" s="16">
        <f t="shared" ref="M12:M19" si="5">L12-VLOOKUP($D$22, $G$3:$K$8, 4, FALSE)</f>
        <v>104.25</v>
      </c>
      <c r="N12" s="3">
        <f t="shared" ref="N12:N19" si="6">M12^2</f>
        <v>10868.0625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2.0</v>
      </c>
      <c r="E13" s="3"/>
      <c r="F13" s="3"/>
      <c r="G13" s="3"/>
      <c r="H13" s="3"/>
      <c r="I13" s="9">
        <v>4.0</v>
      </c>
      <c r="J13" s="15" t="s">
        <v>18</v>
      </c>
      <c r="K13" s="3"/>
      <c r="L13" s="15">
        <f t="shared" si="4"/>
        <v>123.75</v>
      </c>
      <c r="M13" s="16">
        <f t="shared" si="5"/>
        <v>104.25</v>
      </c>
      <c r="N13" s="3">
        <f t="shared" si="6"/>
        <v>10868.0625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58.25</v>
      </c>
      <c r="E14" s="3"/>
      <c r="F14" s="3"/>
      <c r="G14" s="3"/>
      <c r="H14" s="3"/>
      <c r="K14" s="3"/>
      <c r="L14" s="15">
        <f t="shared" si="4"/>
        <v>123.75</v>
      </c>
      <c r="M14" s="16">
        <f t="shared" si="5"/>
        <v>104.25</v>
      </c>
      <c r="N14" s="3">
        <f t="shared" si="6"/>
        <v>10868.0625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266.125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4"/>
        <v>123.75</v>
      </c>
      <c r="M15" s="16">
        <f t="shared" si="5"/>
        <v>104.25</v>
      </c>
      <c r="N15" s="3">
        <f t="shared" si="6"/>
        <v>10868.0625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266.125</v>
      </c>
      <c r="E16" s="3"/>
      <c r="F16" s="3"/>
      <c r="G16" s="3"/>
      <c r="H16" s="3"/>
      <c r="I16" s="15"/>
      <c r="J16" s="15" t="s">
        <v>12</v>
      </c>
      <c r="K16" s="3"/>
      <c r="L16" s="15">
        <f t="shared" si="4"/>
        <v>123.75</v>
      </c>
      <c r="M16" s="16">
        <f t="shared" si="5"/>
        <v>104.25</v>
      </c>
      <c r="N16" s="3">
        <f t="shared" si="6"/>
        <v>10868.0625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395.865218</v>
      </c>
      <c r="E17" s="3"/>
      <c r="F17" s="3"/>
      <c r="G17" s="3"/>
      <c r="H17" s="3"/>
      <c r="I17" s="15"/>
      <c r="J17" s="15" t="s">
        <v>15</v>
      </c>
      <c r="K17" s="3"/>
      <c r="L17" s="15">
        <f t="shared" si="4"/>
        <v>123.75</v>
      </c>
      <c r="M17" s="16">
        <f t="shared" si="5"/>
        <v>104.25</v>
      </c>
      <c r="N17" s="3">
        <f t="shared" si="6"/>
        <v>10868.0625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70822.51563</v>
      </c>
      <c r="E18" s="3"/>
      <c r="F18" s="3"/>
      <c r="G18" s="3"/>
      <c r="H18" s="3"/>
      <c r="I18" s="9">
        <v>4.0</v>
      </c>
      <c r="J18" s="15" t="s">
        <v>18</v>
      </c>
      <c r="K18" s="3"/>
      <c r="L18" s="15">
        <f t="shared" si="4"/>
        <v>123.75</v>
      </c>
      <c r="M18" s="16">
        <f t="shared" si="5"/>
        <v>104.25</v>
      </c>
      <c r="N18" s="3">
        <f t="shared" si="6"/>
        <v>10868.0625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123.75</v>
      </c>
      <c r="M19" s="16">
        <f t="shared" si="5"/>
        <v>104.25</v>
      </c>
      <c r="N19" s="3">
        <f t="shared" si="6"/>
        <v>10868.0625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101.8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21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8.0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454.0</v>
      </c>
      <c r="E24" s="3"/>
      <c r="F24" s="3"/>
      <c r="G24" s="3" t="s">
        <v>58</v>
      </c>
      <c r="I24" s="3">
        <f>15000*SQRT(I21*100/9.8)*0.8*9.8/100</f>
        <v>37902.52762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2389.181213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0.03373476912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0.02568321648</v>
      </c>
      <c r="E27" s="3"/>
      <c r="F27" s="3"/>
      <c r="G27" s="3" t="s">
        <v>63</v>
      </c>
      <c r="I27" s="3">
        <f>(D18-SUM(N:N)/6)*(1-D14/2/D16)*(1-D14/2/D15)</f>
        <v>44676.45516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0.6528463875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0.03305591299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0.03305591299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0.06611182599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15792.71984</v>
      </c>
      <c r="E32" s="3"/>
      <c r="F32" s="3"/>
      <c r="G32" s="3" t="s">
        <v>71</v>
      </c>
      <c r="I32" s="3">
        <f>I28*I29*$D$12</f>
        <v>9.991740657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30.60977543</v>
      </c>
      <c r="F33" s="3"/>
      <c r="G33" s="3" t="s">
        <v>73</v>
      </c>
      <c r="I33" s="3">
        <f>I28*I30*D12</f>
        <v>9.991740657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0.09815069407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0.6395695652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1.639569565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3.329567539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247786.4163</v>
      </c>
      <c r="E38" s="3"/>
      <c r="F38" s="3"/>
      <c r="G38" s="3" t="s">
        <v>83</v>
      </c>
      <c r="I38" s="3">
        <f>1+I36*I34*(0.1+0.9/(1+I37*I34))</f>
        <v>1.555313361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1083930.649</v>
      </c>
      <c r="E39" s="3"/>
      <c r="F39" s="3"/>
      <c r="G39" s="3" t="s">
        <v>0</v>
      </c>
      <c r="I39" s="3">
        <f>I21*I38</f>
        <v>158.3309002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1331717.066</v>
      </c>
      <c r="E40" s="3"/>
      <c r="F40" s="3"/>
      <c r="G40" s="3" t="s">
        <v>1</v>
      </c>
      <c r="I40" s="3">
        <f>I22*(1+5*(I39/I21-1))</f>
        <v>0.007553133613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1101838322</v>
      </c>
      <c r="E41" s="3"/>
      <c r="F41" s="3"/>
      <c r="G41" s="3" t="s">
        <v>85</v>
      </c>
      <c r="I41" s="3">
        <f>I24/(I24-I39/I40)</f>
        <v>2.237424625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0.04609595835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36.98125865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