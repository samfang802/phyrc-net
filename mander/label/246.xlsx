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ug5TyCdpX3W3ZBsVXIaSJhQ5cFEjXdh27NUxlaMzuUI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<sst xmlns="http://schemas.openxmlformats.org/spreadsheetml/2006/main" count="109" uniqueCount="87">
  <si>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</si>
  <si>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</si>
  <si>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</si>
  <si>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</si>
  <si>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</si>
  <si>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</si>
  <si>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</si>
  <si>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</si>
  <si>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</si>
  <si>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</si>
  <si>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</si>
  <si>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</si>
  <si>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#3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</si>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</sst>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/>
    </xf>
    <xf borderId="4" fillId="2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3.png"/><Relationship Id="rId3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133350</xdr:colOff>
      <xdr:row>17</xdr:row>
      <xdr:rowOff>95250</xdr:rowOff>
    </xdr:from>
    <xdr:ext cx="6391275" cy="3600450"/>
    <xdr:pic>
      <xdr:nvPicPr>
        <xdr:cNvPr id="0" name="image3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22</xdr:col>
      <xdr:colOff>161925</xdr:colOff>
      <xdr:row>8</xdr:row>
      <xdr:rowOff>171450</xdr:rowOff>
    </xdr:from>
    <xdr:ext cx="2276475" cy="4714875"/>
    <xdr:pic>
      <xdr:nvPicPr>
        <xdr:cNvPr id="0" name="image1.png" title="圖片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61.96020661</v>
      </c>
      <c r="B2" s="2">
        <f>Calculate!R3</f>
        <v>0.007806175155</v>
      </c>
      <c r="C2" s="2">
        <f>Calculate!S3</f>
        <v>38.13016719</v>
      </c>
      <c r="D2" s="2">
        <f>Calculate!T3</f>
        <v>0.04206007842</v>
      </c>
      <c r="E2" s="2">
        <f>Calculate!Q6</f>
        <v>1883972.349</v>
      </c>
      <c r="F2" s="2">
        <f>Calculate!R6</f>
        <v>2646000000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6">
        <f t="shared" ref="J3:J8" si="1">I3*25.4</f>
        <v>9.525</v>
      </c>
      <c r="K3" s="1">
        <f t="shared" ref="K3:K8" si="2">PI()*J3^2/4</f>
        <v>71.25573925</v>
      </c>
      <c r="L3" s="3"/>
      <c r="M3" s="3"/>
      <c r="N3" s="3"/>
      <c r="O3" s="3"/>
      <c r="P3" s="3"/>
      <c r="Q3" s="1">
        <f>I39</f>
        <v>61.96020661</v>
      </c>
      <c r="R3" s="1">
        <f>I40</f>
        <v>0.007806175155</v>
      </c>
      <c r="S3" s="1">
        <f>I43</f>
        <v>38.13016719</v>
      </c>
      <c r="T3" s="1">
        <f>I42</f>
        <v>0.04206007842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9">
        <v>600.0</v>
      </c>
      <c r="E4" s="3"/>
      <c r="F4" s="3"/>
      <c r="G4" s="8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9">
        <v>600.0</v>
      </c>
      <c r="E5" s="3"/>
      <c r="F5" s="3"/>
      <c r="G5" s="8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0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9">
        <v>44.5</v>
      </c>
      <c r="E6" s="3"/>
      <c r="F6" s="3"/>
      <c r="G6" s="8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1883972.349</v>
      </c>
      <c r="R6" s="1">
        <f>D41</f>
        <v>2646000000</v>
      </c>
      <c r="S6" s="10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9">
        <v>44.5</v>
      </c>
      <c r="E7" s="3"/>
      <c r="F7" s="3"/>
      <c r="G7" s="8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1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2"/>
      <c r="D10" s="9">
        <v>100.0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2"/>
      <c r="D11" s="9" t="s">
        <v>15</v>
      </c>
      <c r="E11" s="3"/>
      <c r="F11" s="3"/>
      <c r="G11" s="3"/>
      <c r="H11" s="3"/>
      <c r="I11" s="13"/>
      <c r="J11" s="13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2"/>
      <c r="D12" s="9">
        <v>524.0</v>
      </c>
      <c r="E12" s="3"/>
      <c r="F12" s="3"/>
      <c r="G12" s="3"/>
      <c r="H12" s="3"/>
      <c r="I12" s="9">
        <v>4.0</v>
      </c>
      <c r="J12" s="13" t="s">
        <v>15</v>
      </c>
      <c r="K12" s="3"/>
      <c r="L12" s="9">
        <v>153.4</v>
      </c>
      <c r="M12" s="14">
        <f t="shared" ref="M12:M23" si="3">L12-VLOOKUP($D$22, $G$3:$K$8, 4, FALSE)</f>
        <v>128</v>
      </c>
      <c r="N12" s="3">
        <f t="shared" ref="N12:N23" si="4">M12^2</f>
        <v>16384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2"/>
      <c r="D13" s="9">
        <v>2.0</v>
      </c>
      <c r="E13" s="3"/>
      <c r="F13" s="3"/>
      <c r="G13" s="3"/>
      <c r="H13" s="3"/>
      <c r="I13" s="13"/>
      <c r="J13" s="13" t="s">
        <v>18</v>
      </c>
      <c r="K13" s="3"/>
      <c r="L13" s="9">
        <v>153.4</v>
      </c>
      <c r="M13" s="14">
        <f t="shared" si="3"/>
        <v>128</v>
      </c>
      <c r="N13" s="3">
        <f t="shared" si="4"/>
        <v>16384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74.6</v>
      </c>
      <c r="E14" s="3"/>
      <c r="F14" s="3"/>
      <c r="G14" s="3"/>
      <c r="H14" s="3"/>
      <c r="K14" s="3"/>
      <c r="L14" s="9">
        <v>153.4</v>
      </c>
      <c r="M14" s="14">
        <f t="shared" si="3"/>
        <v>128</v>
      </c>
      <c r="N14" s="3">
        <f t="shared" si="4"/>
        <v>16384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5">
        <f>D4-2*D7-VLOOKUP(D11, G3:K8, 4,FALSE )</f>
        <v>498.3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9">
        <v>153.4</v>
      </c>
      <c r="M15" s="14">
        <f t="shared" si="3"/>
        <v>128</v>
      </c>
      <c r="N15" s="3">
        <f t="shared" si="4"/>
        <v>16384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5">
        <f>D5-2*D6-VLOOKUP(D11, G3:K8, 4,FALSE )</f>
        <v>498.3</v>
      </c>
      <c r="E16" s="3"/>
      <c r="F16" s="3"/>
      <c r="G16" s="3"/>
      <c r="H16" s="3"/>
      <c r="I16" s="13"/>
      <c r="J16" s="13" t="s">
        <v>12</v>
      </c>
      <c r="K16" s="3"/>
      <c r="L16" s="9">
        <v>153.4</v>
      </c>
      <c r="M16" s="14">
        <f t="shared" si="3"/>
        <v>128</v>
      </c>
      <c r="N16" s="3">
        <f t="shared" si="4"/>
        <v>16384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253.3537395</v>
      </c>
      <c r="E17" s="3"/>
      <c r="F17" s="3"/>
      <c r="G17" s="3"/>
      <c r="H17" s="3"/>
      <c r="I17" s="9">
        <v>4.0</v>
      </c>
      <c r="J17" s="13" t="s">
        <v>15</v>
      </c>
      <c r="K17" s="3"/>
      <c r="L17" s="9">
        <v>153.4</v>
      </c>
      <c r="M17" s="14">
        <f t="shared" si="3"/>
        <v>128</v>
      </c>
      <c r="N17" s="3">
        <f t="shared" si="4"/>
        <v>16384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248302.89</v>
      </c>
      <c r="E18" s="3"/>
      <c r="F18" s="3"/>
      <c r="G18" s="3"/>
      <c r="H18" s="3"/>
      <c r="I18" s="13"/>
      <c r="J18" s="13" t="s">
        <v>18</v>
      </c>
      <c r="K18" s="3"/>
      <c r="L18" s="9">
        <v>153.4</v>
      </c>
      <c r="M18" s="14">
        <f t="shared" si="3"/>
        <v>128</v>
      </c>
      <c r="N18" s="3">
        <f t="shared" si="4"/>
        <v>16384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9">
        <v>153.4</v>
      </c>
      <c r="M19" s="14">
        <f t="shared" si="3"/>
        <v>128</v>
      </c>
      <c r="N19" s="3">
        <f t="shared" si="4"/>
        <v>16384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9">
        <v>153.4</v>
      </c>
      <c r="M20" s="14">
        <f t="shared" si="3"/>
        <v>128</v>
      </c>
      <c r="N20" s="3">
        <f t="shared" si="4"/>
        <v>16384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9">
        <v>39.2</v>
      </c>
      <c r="J21" s="3"/>
      <c r="K21" s="3"/>
      <c r="L21" s="9">
        <v>153.4</v>
      </c>
      <c r="M21" s="14">
        <f t="shared" si="3"/>
        <v>128</v>
      </c>
      <c r="N21" s="3">
        <f t="shared" si="4"/>
        <v>16384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2"/>
      <c r="D22" s="9" t="s">
        <v>26</v>
      </c>
      <c r="E22" s="3"/>
      <c r="F22" s="3"/>
      <c r="G22" s="3" t="s">
        <v>55</v>
      </c>
      <c r="I22" s="3">
        <v>0.002</v>
      </c>
      <c r="J22" s="3"/>
      <c r="K22" s="3"/>
      <c r="L22" s="9">
        <v>153.4</v>
      </c>
      <c r="M22" s="14">
        <f t="shared" si="3"/>
        <v>128</v>
      </c>
      <c r="N22" s="3">
        <f t="shared" si="4"/>
        <v>16384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9">
        <v>12.0</v>
      </c>
      <c r="E23" s="3"/>
      <c r="F23" s="3"/>
      <c r="G23" s="3" t="s">
        <v>57</v>
      </c>
      <c r="I23" s="3">
        <v>0.005</v>
      </c>
      <c r="J23" s="3"/>
      <c r="K23" s="3"/>
      <c r="L23" s="9">
        <v>153.4</v>
      </c>
      <c r="M23" s="14">
        <f t="shared" si="3"/>
        <v>128</v>
      </c>
      <c r="N23" s="3">
        <f t="shared" si="4"/>
        <v>16384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2"/>
      <c r="D24" s="9">
        <v>388.0</v>
      </c>
      <c r="E24" s="3"/>
      <c r="F24" s="3"/>
      <c r="G24" s="3" t="s">
        <v>59</v>
      </c>
      <c r="I24" s="3">
        <f>15000*SQRT(I21*100/9.8)*0.8*9.8/100</f>
        <v>23520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6080.489749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0.02448819564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0.0168902493</v>
      </c>
      <c r="E27" s="3"/>
      <c r="F27" s="3"/>
      <c r="G27" s="3" t="s">
        <v>64</v>
      </c>
      <c r="I27" s="3">
        <f>(D18-SUM(N:N)/6)*(1-D14/2/D16)*(1-D14/2/D15)</f>
        <v>184475.0593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0.7615937218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0.01016872324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0.01016872324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0.02033744648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9800</v>
      </c>
      <c r="E32" s="3"/>
      <c r="F32" s="3"/>
      <c r="G32" s="3" t="s">
        <v>72</v>
      </c>
      <c r="I32" s="3">
        <f>I28*I29*$D$12</f>
        <v>4.058084348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10.65682196</v>
      </c>
      <c r="F33" s="3"/>
      <c r="G33" s="3" t="s">
        <v>74</v>
      </c>
      <c r="I33" s="3">
        <f>I28*I30*D12</f>
        <v>4.058084348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0.1035225599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0.2462782609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1.246278261</v>
      </c>
      <c r="E36" s="3">
        <f>1+D35</f>
        <v>1.246278261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1.947612863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560912.5044</v>
      </c>
      <c r="E38" s="3"/>
      <c r="F38" s="3"/>
      <c r="G38" s="3" t="s">
        <v>84</v>
      </c>
      <c r="I38" s="3">
        <f>1+I36*I34*(0.1+0.9/(1+I37*I34))</f>
        <v>1.580617515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1323059.845</v>
      </c>
      <c r="E39" s="3"/>
      <c r="F39" s="3"/>
      <c r="G39" s="3" t="s">
        <v>0</v>
      </c>
      <c r="I39" s="3">
        <f>I21*I38</f>
        <v>61.96020661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1883972.349</v>
      </c>
      <c r="E40" s="3"/>
      <c r="F40" s="3"/>
      <c r="G40" s="3" t="s">
        <v>1</v>
      </c>
      <c r="I40" s="3">
        <f>I22*(1+5*(I39/I21-1))</f>
        <v>0.007806175155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2646000000</v>
      </c>
      <c r="E41" s="3"/>
      <c r="F41" s="3"/>
      <c r="G41" s="3" t="s">
        <v>86</v>
      </c>
      <c r="I41" s="3">
        <f>I24/(I24-I39/I40)</f>
        <v>1.50936929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0.04206007842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38.13016719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