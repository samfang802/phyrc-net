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//oxY9wg5t/cQJ2HM0PK31qWXolDsdnh9H09QCxj/h0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<sst xmlns="http://schemas.openxmlformats.org/spreadsheetml/2006/main" count="109" uniqueCount="86">
  <si>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</si>
  <si>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</si>
  <si>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</si>
  <si>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</si>
  <si>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</si>
  <si>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</si>
  <si>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</si>
  <si>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</si>
  <si>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</si>
  <si>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</si>
  <si>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</si>
  <si>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</si>
  <si>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</si>
  <si>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</si>
  <si>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</si>
  <si>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6mm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</si>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</sst>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</xdr:row>
      <xdr:rowOff>0</xdr:rowOff>
    </xdr:from>
    <xdr:ext cx="2867025" cy="245745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40.85529936</v>
      </c>
      <c r="B2" s="2">
        <f>Calculate!R3</f>
        <v>0.007835387347</v>
      </c>
      <c r="C2" s="2">
        <f>Calculate!S3</f>
        <v>26.86750525</v>
      </c>
      <c r="D2" s="2">
        <f>Calculate!T3</f>
        <v>0.05188259286</v>
      </c>
      <c r="E2" s="2">
        <f>Calculate!Q6</f>
        <v>154517.3586</v>
      </c>
      <c r="F2" s="2">
        <f>Calculate!R6</f>
        <v>238514150.5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40.85529936</v>
      </c>
      <c r="R3" s="1">
        <f>I40</f>
        <v>0.007835387347</v>
      </c>
      <c r="S3" s="1">
        <f>I43</f>
        <v>26.86750525</v>
      </c>
      <c r="T3" s="1">
        <f>I42</f>
        <v>0.05188259286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200.0</v>
      </c>
      <c r="E4" s="3"/>
      <c r="F4" s="3"/>
      <c r="G4" s="10" t="s">
        <v>15</v>
      </c>
      <c r="H4" s="11" t="s">
        <v>15</v>
      </c>
      <c r="I4" s="6">
        <f>6/25.4</f>
        <v>0.2362204724</v>
      </c>
      <c r="J4" s="6">
        <f>6</f>
        <v>6</v>
      </c>
      <c r="K4" s="1">
        <f t="shared" si="1"/>
        <v>28.27433388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9">
        <v>200.0</v>
      </c>
      <c r="E5" s="3"/>
      <c r="F5" s="3"/>
      <c r="G5" s="8" t="s">
        <v>17</v>
      </c>
      <c r="H5" s="6" t="s">
        <v>18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9">
        <v>19.0</v>
      </c>
      <c r="E6" s="3"/>
      <c r="F6" s="3"/>
      <c r="G6" s="8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154517.3586</v>
      </c>
      <c r="R6" s="1">
        <f>D41</f>
        <v>238514150.5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9">
        <v>19.0</v>
      </c>
      <c r="E7" s="3"/>
      <c r="F7" s="3"/>
      <c r="G7" s="8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9">
        <v>70.0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9">
        <v>426.0</v>
      </c>
      <c r="E12" s="3"/>
      <c r="F12" s="3"/>
      <c r="G12" s="3"/>
      <c r="H12" s="3"/>
      <c r="I12" s="9">
        <v>4.0</v>
      </c>
      <c r="J12" s="9" t="s">
        <v>15</v>
      </c>
      <c r="K12" s="3"/>
      <c r="L12" s="15">
        <f t="shared" ref="L12:L23" si="3">140/3</f>
        <v>46.66666667</v>
      </c>
      <c r="M12" s="16">
        <f t="shared" ref="M12:M23" si="4">L12-VLOOKUP($D$22, $G$3:$K$8, 4, FALSE)</f>
        <v>37.14166667</v>
      </c>
      <c r="N12" s="3">
        <f t="shared" ref="N12:N23" si="5">M12^2</f>
        <v>1379.503403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9">
        <v>2.0</v>
      </c>
      <c r="E13" s="3"/>
      <c r="F13" s="3"/>
      <c r="G13" s="3"/>
      <c r="H13" s="3"/>
      <c r="I13" s="15"/>
      <c r="J13" s="15" t="s">
        <v>17</v>
      </c>
      <c r="K13" s="3"/>
      <c r="L13" s="15">
        <f t="shared" si="3"/>
        <v>46.66666667</v>
      </c>
      <c r="M13" s="16">
        <f t="shared" si="4"/>
        <v>37.14166667</v>
      </c>
      <c r="N13" s="3">
        <f t="shared" si="5"/>
        <v>1379.503403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58</v>
      </c>
      <c r="E14" s="3"/>
      <c r="F14" s="3"/>
      <c r="G14" s="3"/>
      <c r="H14" s="3"/>
      <c r="K14" s="3"/>
      <c r="L14" s="15">
        <f t="shared" si="3"/>
        <v>46.66666667</v>
      </c>
      <c r="M14" s="16">
        <f t="shared" si="4"/>
        <v>37.14166667</v>
      </c>
      <c r="N14" s="3">
        <f t="shared" si="5"/>
        <v>1379.503403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156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5">
        <f t="shared" si="3"/>
        <v>46.66666667</v>
      </c>
      <c r="M15" s="16">
        <f t="shared" si="4"/>
        <v>37.14166667</v>
      </c>
      <c r="N15" s="3">
        <f t="shared" si="5"/>
        <v>1379.503403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156</v>
      </c>
      <c r="E16" s="3"/>
      <c r="F16" s="3"/>
      <c r="G16" s="3"/>
      <c r="H16" s="3"/>
      <c r="I16" s="15"/>
      <c r="J16" s="15" t="s">
        <v>12</v>
      </c>
      <c r="K16" s="3"/>
      <c r="L16" s="15">
        <f t="shared" si="3"/>
        <v>46.66666667</v>
      </c>
      <c r="M16" s="16">
        <f t="shared" si="4"/>
        <v>37.14166667</v>
      </c>
      <c r="N16" s="3">
        <f t="shared" si="5"/>
        <v>1379.503403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56.54866776</v>
      </c>
      <c r="E17" s="3"/>
      <c r="F17" s="3"/>
      <c r="G17" s="3"/>
      <c r="H17" s="3"/>
      <c r="I17" s="9">
        <v>4.0</v>
      </c>
      <c r="J17" s="9" t="s">
        <v>15</v>
      </c>
      <c r="K17" s="3"/>
      <c r="L17" s="15">
        <f t="shared" si="3"/>
        <v>46.66666667</v>
      </c>
      <c r="M17" s="16">
        <f t="shared" si="4"/>
        <v>37.14166667</v>
      </c>
      <c r="N17" s="3">
        <f t="shared" si="5"/>
        <v>1379.503403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24336</v>
      </c>
      <c r="E18" s="3"/>
      <c r="F18" s="3"/>
      <c r="G18" s="3"/>
      <c r="H18" s="3"/>
      <c r="I18" s="15"/>
      <c r="J18" s="15" t="s">
        <v>17</v>
      </c>
      <c r="K18" s="3"/>
      <c r="L18" s="15">
        <f t="shared" si="3"/>
        <v>46.66666667</v>
      </c>
      <c r="M18" s="16">
        <f t="shared" si="4"/>
        <v>37.14166667</v>
      </c>
      <c r="N18" s="3">
        <f t="shared" si="5"/>
        <v>1379.503403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46.66666667</v>
      </c>
      <c r="M19" s="16">
        <f t="shared" si="4"/>
        <v>37.14166667</v>
      </c>
      <c r="N19" s="3">
        <f t="shared" si="5"/>
        <v>1379.503403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15">
        <f t="shared" si="3"/>
        <v>46.66666667</v>
      </c>
      <c r="M20" s="16">
        <f t="shared" si="4"/>
        <v>37.14166667</v>
      </c>
      <c r="N20" s="3">
        <f t="shared" si="5"/>
        <v>1379.503403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9">
        <v>25.8</v>
      </c>
      <c r="J21" s="3"/>
      <c r="K21" s="3"/>
      <c r="L21" s="15">
        <f t="shared" si="3"/>
        <v>46.66666667</v>
      </c>
      <c r="M21" s="16">
        <f t="shared" si="4"/>
        <v>37.14166667</v>
      </c>
      <c r="N21" s="3">
        <f t="shared" si="5"/>
        <v>1379.503403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9" t="s">
        <v>12</v>
      </c>
      <c r="E22" s="3"/>
      <c r="F22" s="3"/>
      <c r="G22" s="3" t="s">
        <v>54</v>
      </c>
      <c r="I22" s="3">
        <v>0.002</v>
      </c>
      <c r="J22" s="3"/>
      <c r="K22" s="3"/>
      <c r="L22" s="15">
        <f t="shared" si="3"/>
        <v>46.66666667</v>
      </c>
      <c r="M22" s="16">
        <f t="shared" si="4"/>
        <v>37.14166667</v>
      </c>
      <c r="N22" s="3">
        <f t="shared" si="5"/>
        <v>1379.503403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9">
        <v>12.0</v>
      </c>
      <c r="E23" s="3"/>
      <c r="F23" s="3"/>
      <c r="G23" s="3" t="s">
        <v>56</v>
      </c>
      <c r="I23" s="3">
        <v>0.005</v>
      </c>
      <c r="J23" s="3"/>
      <c r="K23" s="3"/>
      <c r="L23" s="15">
        <f t="shared" si="3"/>
        <v>46.66666667</v>
      </c>
      <c r="M23" s="16">
        <f t="shared" si="4"/>
        <v>37.14166667</v>
      </c>
      <c r="N23" s="3">
        <f t="shared" si="5"/>
        <v>1379.503403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9">
        <v>361.0</v>
      </c>
      <c r="E24" s="3"/>
      <c r="F24" s="3"/>
      <c r="G24" s="3" t="s">
        <v>58</v>
      </c>
      <c r="I24" s="3">
        <f>15000*SQRT(I21*100/9.8)*0.8*9.8/100</f>
        <v>19081.13204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855.068871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0.0351359661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0.02137672177</v>
      </c>
      <c r="E27" s="3"/>
      <c r="F27" s="3"/>
      <c r="G27" s="3" t="s">
        <v>63</v>
      </c>
      <c r="I27" s="3">
        <f>(D18-SUM(N:N)/6)*(1-D14/2/D16)*(1-D14/2/D15)</f>
        <v>14300.43241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0.6090232255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0.01035689886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0.01035689886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0.02071379772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7950.471684</v>
      </c>
      <c r="E32" s="3"/>
      <c r="F32" s="3"/>
      <c r="G32" s="3" t="s">
        <v>71</v>
      </c>
      <c r="I32" s="3">
        <f>I28*I29*$D$12</f>
        <v>2.68703417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8.824077827</v>
      </c>
      <c r="F33" s="3"/>
      <c r="G33" s="3" t="s">
        <v>73</v>
      </c>
      <c r="I33" s="3">
        <f>I28*I30*D12</f>
        <v>2.68703417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0.1041486112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0.1620913043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1.162091304</v>
      </c>
      <c r="E36" s="3">
        <f>1+D35</f>
        <v>1.162091304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1.473311862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47145.97958</v>
      </c>
      <c r="E38" s="3"/>
      <c r="F38" s="3"/>
      <c r="G38" s="3" t="s">
        <v>83</v>
      </c>
      <c r="I38" s="3">
        <f>1+I36*I34*(0.1+0.9/(1+I37*I34))</f>
        <v>1.583538735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107371.379</v>
      </c>
      <c r="E39" s="3"/>
      <c r="F39" s="3"/>
      <c r="G39" s="3" t="s">
        <v>0</v>
      </c>
      <c r="I39" s="3">
        <f>I21*I38</f>
        <v>40.85529936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154517.3586</v>
      </c>
      <c r="E40" s="3"/>
      <c r="F40" s="3"/>
      <c r="G40" s="3" t="s">
        <v>1</v>
      </c>
      <c r="I40" s="3">
        <f>I22*(1+5*(I39/I21-1))</f>
        <v>0.007835387347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238514150.5</v>
      </c>
      <c r="E41" s="3"/>
      <c r="F41" s="3"/>
      <c r="G41" s="3" t="s">
        <v>85</v>
      </c>
      <c r="I41" s="3">
        <f>I24/(I24-I39/I40)</f>
        <v>1.376017129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0.05188259286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26.86750525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