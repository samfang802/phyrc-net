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4egN6fRsQcQ4oq8GqH/ZHa4nRQifzAQHFlmES6ID6eA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<sst xmlns="http://schemas.openxmlformats.org/spreadsheetml/2006/main" count="109" uniqueCount="87">
  <si>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</si>
  <si>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</si>
  <si>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</si>
  <si>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</si>
  <si>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</si>
  <si>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</si>
  <si>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</si>
  <si>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</si>
  <si>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</si>
  <si>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</si>
  <si>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</si>
  <si>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</si>
  <si>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7mm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</si>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</sst>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2524125" cy="23907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51.51726969</v>
      </c>
      <c r="B2" s="2">
        <f>Calculate!R3</f>
        <v>0.003708470384</v>
      </c>
      <c r="C2" s="2">
        <f>Calculate!S3</f>
        <v>19.47970266</v>
      </c>
      <c r="D2" s="2">
        <f>Calculate!T3</f>
        <v>0.01467690146</v>
      </c>
      <c r="E2" s="2">
        <f>Calculate!Q6</f>
        <v>496488.6725</v>
      </c>
      <c r="F2" s="2">
        <f>Calculate!R6</f>
        <v>1245921346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9">
        <v>7.0</v>
      </c>
      <c r="K3" s="1">
        <f t="shared" ref="K3:K8" si="1">PI()*J3^2/4</f>
        <v>38.48451001</v>
      </c>
      <c r="L3" s="3"/>
      <c r="M3" s="3"/>
      <c r="N3" s="3"/>
      <c r="O3" s="3"/>
      <c r="P3" s="3"/>
      <c r="Q3" s="1">
        <f>I39</f>
        <v>51.51726969</v>
      </c>
      <c r="R3" s="1">
        <f>I40</f>
        <v>0.003708470384</v>
      </c>
      <c r="S3" s="1">
        <f>I43</f>
        <v>19.47970266</v>
      </c>
      <c r="T3" s="1">
        <f>I42</f>
        <v>0.01467690146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400.0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400.0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>16</f>
        <v>16</v>
      </c>
      <c r="K5" s="1">
        <f t="shared" si="1"/>
        <v>201.0619298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13.0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ref="J6:J8" si="2">I6*25.4</f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496488.6725</v>
      </c>
      <c r="R6" s="1">
        <f>D41</f>
        <v>1245921346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13.0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91.0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364.0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23" si="3">344/3</f>
        <v>114.6666667</v>
      </c>
      <c r="M12" s="16">
        <f t="shared" ref="M12:M23" si="4">L12-VLOOKUP($D$22, $G$3:$K$8, 4, FALSE)</f>
        <v>98.66666667</v>
      </c>
      <c r="N12" s="3">
        <f t="shared" ref="N12:N23" si="5">M12^2</f>
        <v>9735.111111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2.0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114.6666667</v>
      </c>
      <c r="M13" s="16">
        <f t="shared" si="4"/>
        <v>98.66666667</v>
      </c>
      <c r="N13" s="3">
        <f t="shared" si="5"/>
        <v>9735.111111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77</v>
      </c>
      <c r="E14" s="3"/>
      <c r="F14" s="3"/>
      <c r="G14" s="3"/>
      <c r="H14" s="3"/>
      <c r="K14" s="3"/>
      <c r="L14" s="15">
        <f t="shared" si="3"/>
        <v>114.6666667</v>
      </c>
      <c r="M14" s="16">
        <f t="shared" si="4"/>
        <v>98.66666667</v>
      </c>
      <c r="N14" s="3">
        <f t="shared" si="5"/>
        <v>9735.111111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367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114.6666667</v>
      </c>
      <c r="M15" s="16">
        <f t="shared" si="4"/>
        <v>98.66666667</v>
      </c>
      <c r="N15" s="3">
        <f t="shared" si="5"/>
        <v>9735.111111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367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114.6666667</v>
      </c>
      <c r="M16" s="16">
        <f t="shared" si="4"/>
        <v>98.66666667</v>
      </c>
      <c r="N16" s="3">
        <f t="shared" si="5"/>
        <v>9735.111111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76.96902001</v>
      </c>
      <c r="E17" s="3"/>
      <c r="F17" s="3"/>
      <c r="G17" s="3"/>
      <c r="H17" s="3"/>
      <c r="I17" s="15"/>
      <c r="J17" s="15" t="s">
        <v>15</v>
      </c>
      <c r="K17" s="3"/>
      <c r="L17" s="15">
        <f t="shared" si="3"/>
        <v>114.6666667</v>
      </c>
      <c r="M17" s="16">
        <f t="shared" si="4"/>
        <v>98.66666667</v>
      </c>
      <c r="N17" s="3">
        <f t="shared" si="5"/>
        <v>9735.111111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134689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114.6666667</v>
      </c>
      <c r="M18" s="16">
        <f t="shared" si="4"/>
        <v>98.66666667</v>
      </c>
      <c r="N18" s="3">
        <f t="shared" si="5"/>
        <v>9735.111111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114.6666667</v>
      </c>
      <c r="M19" s="16">
        <f t="shared" si="4"/>
        <v>98.66666667</v>
      </c>
      <c r="N19" s="3">
        <f t="shared" si="5"/>
        <v>9735.111111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f t="shared" si="3"/>
        <v>114.6666667</v>
      </c>
      <c r="M20" s="16">
        <f t="shared" si="4"/>
        <v>98.66666667</v>
      </c>
      <c r="N20" s="3">
        <f t="shared" si="5"/>
        <v>9735.111111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44.0</v>
      </c>
      <c r="J21" s="3"/>
      <c r="K21" s="3"/>
      <c r="L21" s="15">
        <f t="shared" si="3"/>
        <v>114.6666667</v>
      </c>
      <c r="M21" s="16">
        <f t="shared" si="4"/>
        <v>98.66666667</v>
      </c>
      <c r="N21" s="3">
        <f t="shared" si="5"/>
        <v>9735.111111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18</v>
      </c>
      <c r="E22" s="3"/>
      <c r="F22" s="3"/>
      <c r="G22" s="3" t="s">
        <v>55</v>
      </c>
      <c r="I22" s="3">
        <v>0.002</v>
      </c>
      <c r="J22" s="3"/>
      <c r="K22" s="3"/>
      <c r="L22" s="15">
        <f t="shared" si="3"/>
        <v>114.6666667</v>
      </c>
      <c r="M22" s="16">
        <f t="shared" si="4"/>
        <v>98.66666667</v>
      </c>
      <c r="N22" s="3">
        <f t="shared" si="5"/>
        <v>9735.111111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12.0</v>
      </c>
      <c r="E23" s="3"/>
      <c r="F23" s="3"/>
      <c r="G23" s="3" t="s">
        <v>57</v>
      </c>
      <c r="I23" s="3">
        <v>0.005</v>
      </c>
      <c r="J23" s="3"/>
      <c r="K23" s="3"/>
      <c r="L23" s="15">
        <f t="shared" si="3"/>
        <v>114.6666667</v>
      </c>
      <c r="M23" s="16">
        <f t="shared" si="4"/>
        <v>98.66666667</v>
      </c>
      <c r="N23" s="3">
        <f t="shared" si="5"/>
        <v>9735.111111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446.0</v>
      </c>
      <c r="E24" s="3"/>
      <c r="F24" s="3"/>
      <c r="G24" s="3" t="s">
        <v>59</v>
      </c>
      <c r="I24" s="3">
        <f>15000*SQRT(I21*100/9.8)*0.8*9.8/100</f>
        <v>24918.42692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2412.743158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0.0179134388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0.01507964474</v>
      </c>
      <c r="E27" s="3"/>
      <c r="F27" s="3"/>
      <c r="G27" s="3" t="s">
        <v>64</v>
      </c>
      <c r="I27" s="3">
        <f>(D18-SUM(N:N)/6)*(1-D14/2/D16)*(1-D14/2/D15)</f>
        <v>92312.79134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0.6978787693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0.004609337366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0.004609337366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0.009218674733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10382.67788</v>
      </c>
      <c r="E32" s="3"/>
      <c r="F32" s="3"/>
      <c r="G32" s="3" t="s">
        <v>72</v>
      </c>
      <c r="I32" s="3">
        <f>I28*I29*$D$12</f>
        <v>1.170900163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3.355597603</v>
      </c>
      <c r="F33" s="3"/>
      <c r="G33" s="3" t="s">
        <v>74</v>
      </c>
      <c r="I33" s="3">
        <f>I28*I30*D12</f>
        <v>1.170900163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0.02661136733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0.2764347826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1.276434783</v>
      </c>
      <c r="E36" s="3">
        <f>1+D35</f>
        <v>1.276434783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2.113340857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270507.6298</v>
      </c>
      <c r="E38" s="3"/>
      <c r="F38" s="3"/>
      <c r="G38" s="3" t="s">
        <v>84</v>
      </c>
      <c r="I38" s="3">
        <f>1+I36*I34*(0.1+0.9/(1+I37*I34))</f>
        <v>1.170847038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225981.0428</v>
      </c>
      <c r="E39" s="3"/>
      <c r="F39" s="3"/>
      <c r="G39" s="3" t="s">
        <v>0</v>
      </c>
      <c r="I39" s="3">
        <f>I21*I38</f>
        <v>51.51726969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496488.6725</v>
      </c>
      <c r="E40" s="3"/>
      <c r="F40" s="3"/>
      <c r="G40" s="3" t="s">
        <v>1</v>
      </c>
      <c r="I40" s="3">
        <f>I22*(1+5*(I39/I21-1))</f>
        <v>0.003708470384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1245921346</v>
      </c>
      <c r="E41" s="3"/>
      <c r="F41" s="3"/>
      <c r="G41" s="3" t="s">
        <v>86</v>
      </c>
      <c r="I41" s="3">
        <f>I24/(I24-I39/I40)</f>
        <v>2.25983803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0.01467690146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19.47970266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