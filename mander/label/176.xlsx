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ZQ/8YiZTvmVf1poTpdEnT2XkDMVlY7kG2AyLNADkoeY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<sst xmlns="http://schemas.openxmlformats.org/spreadsheetml/2006/main" count="109" uniqueCount="87">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</sst>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5476875" cy="24003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85.20251836</v>
      </c>
      <c r="B2" s="2">
        <f>Calculate!R3</f>
        <v>0.004241741143</v>
      </c>
      <c r="C2" s="2">
        <f>Calculate!S3</f>
        <v>7.33414388</v>
      </c>
      <c r="D2" s="2">
        <f>Calculate!T3</f>
        <v>0.02961612926</v>
      </c>
      <c r="E2" s="2">
        <f>Calculate!Q6</f>
        <v>177398.4424</v>
      </c>
      <c r="F2" s="2">
        <f>Calculate!R6</f>
        <v>403590561.6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85.20251836</v>
      </c>
      <c r="R3" s="1">
        <f>I40</f>
        <v>0.004241741143</v>
      </c>
      <c r="S3" s="1">
        <f>I43</f>
        <v>7.33414388</v>
      </c>
      <c r="T3" s="1">
        <f>I42</f>
        <v>0.02961612926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33.9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177398.4424</v>
      </c>
      <c r="R6" s="1">
        <f>D41</f>
        <v>403590561.6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39.8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406.8</v>
      </c>
      <c r="E12" s="3"/>
      <c r="F12" s="3"/>
      <c r="G12" s="3"/>
      <c r="H12" s="3"/>
      <c r="I12" s="13"/>
      <c r="J12" s="13" t="s">
        <v>15</v>
      </c>
      <c r="K12" s="3"/>
      <c r="L12" s="13">
        <f>203-2*33.9-34.93</f>
        <v>100.27</v>
      </c>
      <c r="M12" s="14">
        <f t="shared" ref="M12:M15" si="3">L12-VLOOKUP($D$22, $G$3:$K$8, 4, FALSE)</f>
        <v>84.395</v>
      </c>
      <c r="N12" s="3">
        <f t="shared" ref="N12:N15" si="4">M12^2</f>
        <v>7122.516025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203-2*39.8-34.93</f>
        <v>88.47</v>
      </c>
      <c r="M13" s="14">
        <f t="shared" si="3"/>
        <v>72.595</v>
      </c>
      <c r="N13" s="3">
        <f t="shared" si="4"/>
        <v>5270.034025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203-2*33.9-34.93</f>
        <v>100.27</v>
      </c>
      <c r="M14" s="14">
        <f t="shared" si="3"/>
        <v>84.395</v>
      </c>
      <c r="N14" s="3">
        <f t="shared" si="4"/>
        <v>7122.516025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113.875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203-2*39.8-34.93</f>
        <v>88.47</v>
      </c>
      <c r="M15" s="14">
        <f t="shared" si="3"/>
        <v>72.595</v>
      </c>
      <c r="N15" s="3">
        <f t="shared" si="4"/>
        <v>5270.034025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125.675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9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14311.24063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69.6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586.1</v>
      </c>
      <c r="E24" s="3"/>
      <c r="F24" s="3"/>
      <c r="G24" s="3" t="s">
        <v>59</v>
      </c>
      <c r="I24" s="3">
        <f>15000*SQRT(I21*100/9.8)*0.8*9.8/100</f>
        <v>31339.99362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0.05532227826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5290.094305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0.3912933406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0.01488147505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0.0164235291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0.03130500415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13058.33067</v>
      </c>
      <c r="E32" s="3"/>
      <c r="F32" s="3"/>
      <c r="G32" s="3" t="s">
        <v>72</v>
      </c>
      <c r="I32" s="3">
        <f>I28*I29*$D$12</f>
        <v>2.368805384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12.73487569</v>
      </c>
      <c r="F33" s="3"/>
      <c r="G33" s="3" t="s">
        <v>74</v>
      </c>
      <c r="I33" s="3">
        <f>I28*I30*D12</f>
        <v>2.614266666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0.03579793139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0.4372695652</v>
      </c>
      <c r="E35" s="3"/>
      <c r="F35" s="3"/>
      <c r="G35" s="3" t="s">
        <v>78</v>
      </c>
      <c r="I35" s="3">
        <f>MIN(I32, I33)/MAX(I32, I33)</f>
        <v>0.9061070221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1.437269565</v>
      </c>
      <c r="E36" s="3">
        <f>1+D35</f>
        <v>1.437269565</v>
      </c>
      <c r="F36" s="3"/>
      <c r="G36" s="3" t="s">
        <v>80</v>
      </c>
      <c r="I36" s="3">
        <f>6.8886-(0.6069+17.275*I35)*EXP(1)^(-4.989*I35)</f>
        <v>6.711646104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2.753078277</v>
      </c>
      <c r="E37" s="3"/>
      <c r="F37" s="3"/>
      <c r="G37" s="3" t="s">
        <v>82</v>
      </c>
      <c r="I37" s="3">
        <f>4.5/(5/I36*(0.9849-0.6306*EXP(1)^(-3.989*I35))-0.1)-5</f>
        <v>2.2455279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90761.28218</v>
      </c>
      <c r="E38" s="3"/>
      <c r="F38" s="3"/>
      <c r="G38" s="3" t="s">
        <v>84</v>
      </c>
      <c r="I38" s="3">
        <f>1+I36*I34*(0.1+0.9/(1+I37*I34))</f>
        <v>1.224174114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86637.16022</v>
      </c>
      <c r="E39" s="3"/>
      <c r="F39" s="3"/>
      <c r="G39" s="3" t="s">
        <v>0</v>
      </c>
      <c r="I39" s="3">
        <f>I21*I38</f>
        <v>85.20251836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177398.4424</v>
      </c>
      <c r="E40" s="3"/>
      <c r="F40" s="3"/>
      <c r="G40" s="3" t="s">
        <v>1</v>
      </c>
      <c r="I40" s="3">
        <f>I22*(1+5*(I39/I21-1))</f>
        <v>0.004241741143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403590561.6</v>
      </c>
      <c r="E41" s="3"/>
      <c r="F41" s="3"/>
      <c r="G41" s="3" t="s">
        <v>86</v>
      </c>
      <c r="I41" s="3">
        <f>I24/(I24-I39/I40)</f>
        <v>2.784958166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0.02961612926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7.33414388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