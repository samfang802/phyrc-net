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ekjvXIhPFdGsfUn3P4+MqtKYOwGg+fBaL9Dx99WZzQ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<sst xmlns="http://schemas.openxmlformats.org/spreadsheetml/2006/main" count="109" uniqueCount="87">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</sst>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543175" cy="22479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30.39296744</v>
      </c>
      <c r="B2" s="2">
        <f>Calculate!R3</f>
        <v>0.006070818258</v>
      </c>
      <c r="C2" s="2">
        <f>Calculate!S3</f>
        <v>18.38754382</v>
      </c>
      <c r="D2" s="2">
        <f>Calculate!T3</f>
        <v>0.0463807009</v>
      </c>
      <c r="E2" s="2">
        <f>Calculate!Q6</f>
        <v>136643.3982</v>
      </c>
      <c r="F2" s="2">
        <f>Calculate!R6</f>
        <v>218238401.8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30.39296744</v>
      </c>
      <c r="R3" s="1">
        <f>I40</f>
        <v>0.006070818258</v>
      </c>
      <c r="S3" s="1">
        <f>I43</f>
        <v>18.38754382</v>
      </c>
      <c r="T3" s="1">
        <f>I42</f>
        <v>0.0463807009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200.0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200.0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12.0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136643.3982</v>
      </c>
      <c r="R6" s="1">
        <f>D41</f>
        <v>218238401.8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12.0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35.0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344.0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15" si="3">155.3</f>
        <v>155.3</v>
      </c>
      <c r="M12" s="16">
        <f t="shared" ref="M12:M15" si="4">L12-VLOOKUP($D$22, $G$3:$K$8, 4, FALSE)</f>
        <v>142.6</v>
      </c>
      <c r="N12" s="3">
        <f t="shared" ref="N12:N15" si="5">M12^2</f>
        <v>20334.76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155.3</v>
      </c>
      <c r="M13" s="16">
        <f t="shared" si="4"/>
        <v>142.6</v>
      </c>
      <c r="N13" s="3">
        <f t="shared" si="5"/>
        <v>20334.76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29</v>
      </c>
      <c r="E14" s="3"/>
      <c r="F14" s="3"/>
      <c r="G14" s="3"/>
      <c r="H14" s="3"/>
      <c r="K14" s="3"/>
      <c r="L14" s="15">
        <f t="shared" si="3"/>
        <v>155.3</v>
      </c>
      <c r="M14" s="16">
        <f t="shared" si="4"/>
        <v>142.6</v>
      </c>
      <c r="N14" s="3">
        <f t="shared" si="5"/>
        <v>20334.76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170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155.3</v>
      </c>
      <c r="M15" s="16">
        <f t="shared" si="4"/>
        <v>142.6</v>
      </c>
      <c r="N15" s="3">
        <f t="shared" si="5"/>
        <v>20334.76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170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28.27433388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28900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21.6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15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371.0</v>
      </c>
      <c r="E24" s="3"/>
      <c r="F24" s="3"/>
      <c r="G24" s="3" t="s">
        <v>59</v>
      </c>
      <c r="I24" s="3">
        <f>15000*SQRT(I21*100/9.8)*0.8*9.8/100</f>
        <v>17459.07214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506.7074791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0.01753313076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0.01266768698</v>
      </c>
      <c r="E27" s="3"/>
      <c r="F27" s="3"/>
      <c r="G27" s="3" t="s">
        <v>64</v>
      </c>
      <c r="I27" s="3">
        <f>(D18-SUM(N:N)/6)*(1-D14/2/D16)*(1-D14/2/D15)</f>
        <v>12837.69912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0.4521384448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0.009503977776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0.009503977776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0.01900795555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7274.613392</v>
      </c>
      <c r="E32" s="3"/>
      <c r="F32" s="3"/>
      <c r="G32" s="3" t="s">
        <v>72</v>
      </c>
      <c r="I32" s="3">
        <f>I28*I29*$D$12</f>
        <v>1.478207123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6.53873671</v>
      </c>
      <c r="F33" s="3"/>
      <c r="G33" s="3" t="s">
        <v>74</v>
      </c>
      <c r="I33" s="3">
        <f>I28*I30*D12</f>
        <v>1.478207123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0.06843551498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0.1357043478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1.135704348</v>
      </c>
      <c r="E36" s="3">
        <f>1+D35</f>
        <v>1.135704348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1.317457897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42158.6527</v>
      </c>
      <c r="E38" s="3"/>
      <c r="F38" s="3"/>
      <c r="G38" s="3" t="s">
        <v>84</v>
      </c>
      <c r="I38" s="3">
        <f>1+I36*I34*(0.1+0.9/(1+I37*I34))</f>
        <v>1.407081826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94484.74545</v>
      </c>
      <c r="E39" s="3"/>
      <c r="F39" s="3"/>
      <c r="G39" s="3" t="s">
        <v>0</v>
      </c>
      <c r="I39" s="3">
        <f>I21*I38</f>
        <v>30.39296744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136643.3982</v>
      </c>
      <c r="E40" s="3"/>
      <c r="F40" s="3"/>
      <c r="G40" s="3" t="s">
        <v>1</v>
      </c>
      <c r="I40" s="3">
        <f>I22*(1+5*(I39/I21-1))</f>
        <v>0.006070818258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218238401.8</v>
      </c>
      <c r="E41" s="3"/>
      <c r="F41" s="3"/>
      <c r="G41" s="3" t="s">
        <v>86</v>
      </c>
      <c r="I41" s="3">
        <f>I24/(I24-I39/I40)</f>
        <v>1.402034618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0.0463807009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18.38754382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