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18E0E37A-4F5C-40E5-8540-10A337D6A30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hTg6YIfiDKWcv47E9wn9+gs6K1y1c6V2hiNaY7sHn0="/>
    </ext>
  </extLst>
</workbook>
</file>

<file path=xl/calcChain.xml><?xml version="1.0" encoding="utf-8"?>
<calcChain xmlns="http://schemas.openxmlformats.org/spreadsheetml/2006/main">
  <c r="L14" i="2" l="1"/>
  <c r="M14" i="2" s="1"/>
  <c r="N14" i="2" s="1"/>
  <c r="L15" i="2"/>
  <c r="M15" i="2" s="1"/>
  <c r="N15" i="2" s="1"/>
  <c r="L13" i="2"/>
  <c r="L12" i="2"/>
  <c r="M12" i="2" s="1"/>
  <c r="N12" i="2" s="1"/>
  <c r="E36" i="2"/>
  <c r="D36" i="2"/>
  <c r="D35" i="2"/>
  <c r="D32" i="2"/>
  <c r="D41" i="2" s="1"/>
  <c r="R6" i="2" s="1"/>
  <c r="F2" i="1" s="1"/>
  <c r="I24" i="2"/>
  <c r="M13" i="2"/>
  <c r="N13" i="2" s="1"/>
  <c r="K8" i="2"/>
  <c r="D25" i="2" s="1"/>
  <c r="J8" i="2"/>
  <c r="I8" i="2"/>
  <c r="I7" i="2"/>
  <c r="J7" i="2" s="1"/>
  <c r="K7" i="2" s="1"/>
  <c r="I6" i="2"/>
  <c r="J6" i="2" s="1"/>
  <c r="K6" i="2" s="1"/>
  <c r="I5" i="2"/>
  <c r="J5" i="2" s="1"/>
  <c r="K5" i="2" s="1"/>
  <c r="I4" i="2"/>
  <c r="J4" i="2" s="1"/>
  <c r="K4" i="2" s="1"/>
  <c r="I3" i="2"/>
  <c r="J3" i="2" s="1"/>
  <c r="D16" i="2" l="1"/>
  <c r="D15" i="2"/>
  <c r="K3" i="2"/>
  <c r="D17" i="2" s="1"/>
  <c r="D14" i="2"/>
  <c r="D27" i="2"/>
  <c r="D39" i="2" l="1"/>
  <c r="D18" i="2"/>
  <c r="I30" i="2"/>
  <c r="I29" i="2"/>
  <c r="I31" i="2" s="1"/>
  <c r="I42" i="2" l="1"/>
  <c r="T3" i="2" s="1"/>
  <c r="D2" i="1" s="1"/>
  <c r="D33" i="2"/>
  <c r="E33" i="2"/>
  <c r="I27" i="2"/>
  <c r="I28" i="2" s="1"/>
  <c r="D26" i="2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<sst xmlns="http://schemas.openxmlformats.org/spreadsheetml/2006/main" count="109" uniqueCount="87">
  <si>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</si>
  <si>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</si>
  <si>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</si>
  <si>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</si>
  <si>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</si>
  <si>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</si>
  <si>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</si>
  <si>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</si>
  <si>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</si>
  <si>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</si>
  <si>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</si>
  <si>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</si>
  <si>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</si>
  <si>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</si>
  <si>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</si>
  <si>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</si>
  <si>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</si>
  <si>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</si>
  <si>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</si>
  <si>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</si>
  <si>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</si>
  <si>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</si>
  <si>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</si>
  <si>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</si>
  <si>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</si>
  <si>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</si>
  <si>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#10</t>
  </si>
  <si>
    <t>D32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</si>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</sst>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</xdr:row>
      <xdr:rowOff>0</xdr:rowOff>
    </xdr:from>
    <xdr:ext cx="6734175" cy="183832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27.113636793568229</v>
      </c>
      <c r="B2" s="2">
        <f>Calculate!R3</f>
        <v>2.0794188823673727E-3</v>
      </c>
      <c r="C2" s="2">
        <f>Calculate!S3</f>
        <v>5.8811120495486335</v>
      </c>
      <c r="D2" s="2">
        <f>Calculate!T3</f>
        <v>7.4927796504916542E-3</v>
      </c>
      <c r="E2" s="2">
        <f>Calculate!Q6</f>
        <v>157518.02569022778</v>
      </c>
      <c r="F2" s="2">
        <f>Calculate!R6</f>
        <v>1272720059.1720932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J7" sqref="J7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8" t="s">
        <v>6</v>
      </c>
      <c r="C1" s="15"/>
      <c r="D1" s="1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6" t="s">
        <v>11</v>
      </c>
      <c r="C3" s="15"/>
      <c r="D3" s="15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27.113636793568229</v>
      </c>
      <c r="R3" s="1">
        <f>I40</f>
        <v>2.0794188823673727E-3</v>
      </c>
      <c r="S3" s="1">
        <f>I43</f>
        <v>5.8811120495486335</v>
      </c>
      <c r="T3" s="1">
        <f>I42</f>
        <v>7.4927796504916542E-3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4" t="s">
        <v>14</v>
      </c>
      <c r="C4" s="15"/>
      <c r="D4" s="7">
        <v>457.2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4" t="s">
        <v>17</v>
      </c>
      <c r="C5" s="15"/>
      <c r="D5" s="7">
        <v>457.2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4" t="s">
        <v>20</v>
      </c>
      <c r="C6" s="15"/>
      <c r="D6" s="7">
        <v>38.1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157518.02569022778</v>
      </c>
      <c r="R6" s="1">
        <f>D41</f>
        <v>1272720059.1720932</v>
      </c>
      <c r="S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4" t="s">
        <v>23</v>
      </c>
      <c r="C7" s="15"/>
      <c r="D7" s="7">
        <v>38.1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9" t="s">
        <v>26</v>
      </c>
      <c r="H8" s="10" t="s">
        <v>27</v>
      </c>
      <c r="I8" s="5">
        <f>10/8</f>
        <v>1.25</v>
      </c>
      <c r="J8" s="5">
        <f t="shared" si="0"/>
        <v>31.75</v>
      </c>
      <c r="K8" s="1">
        <f t="shared" si="1"/>
        <v>791.73043608984017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6" t="s">
        <v>28</v>
      </c>
      <c r="C9" s="15"/>
      <c r="D9" s="1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4" t="s">
        <v>29</v>
      </c>
      <c r="C10" s="17"/>
      <c r="D10" s="7">
        <v>457.2</v>
      </c>
      <c r="E10" s="3"/>
      <c r="F10" s="3"/>
      <c r="G10" s="14" t="s">
        <v>30</v>
      </c>
      <c r="H10" s="15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4" t="s">
        <v>33</v>
      </c>
      <c r="R10" s="15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4" t="s">
        <v>34</v>
      </c>
      <c r="C11" s="17"/>
      <c r="D11" s="7" t="s">
        <v>12</v>
      </c>
      <c r="E11" s="3"/>
      <c r="F11" s="3"/>
      <c r="G11" s="3"/>
      <c r="H11" s="3"/>
      <c r="I11" s="7">
        <v>2</v>
      </c>
      <c r="J11" s="11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4" t="s">
        <v>39</v>
      </c>
      <c r="C12" s="17"/>
      <c r="D12" s="7">
        <v>399.9</v>
      </c>
      <c r="E12" s="3"/>
      <c r="F12" s="3"/>
      <c r="G12" s="3"/>
      <c r="H12" s="3"/>
      <c r="I12" s="11"/>
      <c r="J12" s="11" t="s">
        <v>15</v>
      </c>
      <c r="K12" s="3"/>
      <c r="L12" s="11">
        <f>25.4*13</f>
        <v>330.2</v>
      </c>
      <c r="M12" s="12">
        <f t="shared" ref="M12:M19" si="2">L12-VLOOKUP($D$22, $G$3:$K$8, 4, FALSE)</f>
        <v>298.45</v>
      </c>
      <c r="N12" s="3">
        <f t="shared" ref="N12:N19" si="3">M12^2</f>
        <v>89072.402499999997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4" t="s">
        <v>41</v>
      </c>
      <c r="C13" s="17"/>
      <c r="D13" s="7">
        <v>1</v>
      </c>
      <c r="E13" s="3"/>
      <c r="F13" s="3"/>
      <c r="G13" s="3"/>
      <c r="H13" s="3"/>
      <c r="I13" s="11"/>
      <c r="J13" s="11" t="s">
        <v>18</v>
      </c>
      <c r="K13" s="3"/>
      <c r="L13" s="11">
        <f>25.4*13</f>
        <v>330.2</v>
      </c>
      <c r="M13" s="12">
        <f t="shared" si="2"/>
        <v>298.45</v>
      </c>
      <c r="N13" s="3">
        <f t="shared" si="3"/>
        <v>89072.402499999997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4" t="s">
        <v>43</v>
      </c>
      <c r="C14" s="15"/>
      <c r="D14" s="3">
        <f>D10-D13*VLOOKUP(D11,G3:K8,4,FALSE)</f>
        <v>447.67500000000001</v>
      </c>
      <c r="E14" s="3"/>
      <c r="F14" s="3"/>
      <c r="G14" s="3"/>
      <c r="H14" s="3"/>
      <c r="K14" s="3"/>
      <c r="L14" s="11">
        <f t="shared" ref="L14:L15" si="4">25.4*13</f>
        <v>330.2</v>
      </c>
      <c r="M14" s="12">
        <f t="shared" si="2"/>
        <v>298.45</v>
      </c>
      <c r="N14" s="3">
        <f t="shared" si="3"/>
        <v>89072.402499999997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4" t="s">
        <v>45</v>
      </c>
      <c r="C15" s="15"/>
      <c r="D15" s="13">
        <f>D4-2*D7-VLOOKUP(D11, G3:K8, 4,FALSE )</f>
        <v>371.47500000000002</v>
      </c>
      <c r="E15" s="3"/>
      <c r="F15" s="3"/>
      <c r="G15" s="14" t="s">
        <v>46</v>
      </c>
      <c r="H15" s="15"/>
      <c r="I15" s="3" t="s">
        <v>31</v>
      </c>
      <c r="J15" s="3" t="s">
        <v>32</v>
      </c>
      <c r="K15" s="3"/>
      <c r="L15" s="11">
        <f t="shared" si="4"/>
        <v>330.2</v>
      </c>
      <c r="M15" s="12">
        <f t="shared" si="2"/>
        <v>298.45</v>
      </c>
      <c r="N15" s="3">
        <f t="shared" si="3"/>
        <v>89072.402499999997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4" t="s">
        <v>48</v>
      </c>
      <c r="C16" s="15"/>
      <c r="D16" s="13">
        <f>D5-2*D6-VLOOKUP(D11, G3:K8, 4,FALSE )</f>
        <v>371.47500000000002</v>
      </c>
      <c r="E16" s="3"/>
      <c r="F16" s="3"/>
      <c r="G16" s="3"/>
      <c r="H16" s="3"/>
      <c r="I16" s="7">
        <v>2</v>
      </c>
      <c r="J16" s="11" t="s">
        <v>12</v>
      </c>
      <c r="K16" s="3"/>
      <c r="L16" s="11"/>
      <c r="M16" s="1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4" t="s">
        <v>49</v>
      </c>
      <c r="C17" s="15"/>
      <c r="D17" s="3">
        <f>D13*VLOOKUP(D11,G3:K8,5,FALSE)</f>
        <v>71.255739248085604</v>
      </c>
      <c r="E17" s="3"/>
      <c r="F17" s="3"/>
      <c r="G17" s="3"/>
      <c r="H17" s="3"/>
      <c r="I17" s="11"/>
      <c r="J17" s="11" t="s">
        <v>15</v>
      </c>
      <c r="K17" s="3"/>
      <c r="L17" s="11"/>
      <c r="M17" s="1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4" t="s">
        <v>50</v>
      </c>
      <c r="C18" s="15"/>
      <c r="D18" s="3">
        <f>D15*D16</f>
        <v>137993.675625</v>
      </c>
      <c r="E18" s="3"/>
      <c r="F18" s="3"/>
      <c r="G18" s="3"/>
      <c r="H18" s="3"/>
      <c r="I18" s="11"/>
      <c r="J18" s="11" t="s">
        <v>18</v>
      </c>
      <c r="K18" s="3"/>
      <c r="L18" s="11"/>
      <c r="M18" s="1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1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6" t="s">
        <v>51</v>
      </c>
      <c r="H20" s="15"/>
      <c r="I20" s="15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6" t="s">
        <v>52</v>
      </c>
      <c r="C21" s="15"/>
      <c r="D21" s="15"/>
      <c r="E21" s="3"/>
      <c r="F21" s="3"/>
      <c r="G21" s="14" t="s">
        <v>53</v>
      </c>
      <c r="H21" s="15"/>
      <c r="I21" s="7">
        <v>26.9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4" t="s">
        <v>54</v>
      </c>
      <c r="C22" s="17"/>
      <c r="D22" s="7" t="s">
        <v>26</v>
      </c>
      <c r="E22" s="3"/>
      <c r="F22" s="3"/>
      <c r="G22" s="14" t="s">
        <v>55</v>
      </c>
      <c r="H22" s="15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4" t="s">
        <v>56</v>
      </c>
      <c r="C23" s="15"/>
      <c r="D23" s="7">
        <v>8</v>
      </c>
      <c r="E23" s="3"/>
      <c r="F23" s="3"/>
      <c r="G23" s="14" t="s">
        <v>57</v>
      </c>
      <c r="H23" s="15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4" t="s">
        <v>58</v>
      </c>
      <c r="C24" s="17"/>
      <c r="D24" s="7">
        <v>331</v>
      </c>
      <c r="E24" s="3"/>
      <c r="F24" s="3"/>
      <c r="G24" s="14" t="s">
        <v>59</v>
      </c>
      <c r="H24" s="15"/>
      <c r="I24" s="3">
        <f>15000*SQRT(I21*100/9.8)*0.8*9.8/100</f>
        <v>19483.654687968581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4" t="s">
        <v>60</v>
      </c>
      <c r="C25" s="15"/>
      <c r="D25" s="3">
        <f>D23*VLOOKUP(D22, G3:K8, 5,FALSE  )</f>
        <v>6333.8434887187213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4" t="s">
        <v>61</v>
      </c>
      <c r="C26" s="15"/>
      <c r="D26" s="3">
        <f>D25/D18</f>
        <v>4.5899520105044819E-2</v>
      </c>
      <c r="E26" s="3"/>
      <c r="F26" s="3"/>
      <c r="G26" s="16" t="s">
        <v>62</v>
      </c>
      <c r="H26" s="15"/>
      <c r="I26" s="15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4" t="s">
        <v>63</v>
      </c>
      <c r="C27" s="15"/>
      <c r="D27" s="3">
        <f>D25/D4/D5</f>
        <v>3.0300855069345996E-2</v>
      </c>
      <c r="E27" s="3"/>
      <c r="F27" s="3"/>
      <c r="G27" s="14" t="s">
        <v>64</v>
      </c>
      <c r="H27" s="15"/>
      <c r="I27" s="3">
        <f>(D18-SUM(N:N)/6)*(1-D14/2/D16)*(1-D14/2/D15)</f>
        <v>12417.19314167626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4" t="s">
        <v>65</v>
      </c>
      <c r="H28" s="15"/>
      <c r="I28" s="3">
        <f>I27/(1-D26)/D18</f>
        <v>9.4312691579488003E-2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4" t="s">
        <v>66</v>
      </c>
      <c r="H29" s="15"/>
      <c r="I29" s="3">
        <f>(I11*VLOOKUP(J11, G3:K8, 5, FALSE) + I12*VLOOKUP(J12, G3:K8, 5, FALSE) + I13*VLOOKUP(J13, G3:K8, 5, FALSE))/D16/D10</f>
        <v>8.3910060192035054E-4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4" t="s">
        <v>68</v>
      </c>
      <c r="H30" s="15"/>
      <c r="I30" s="3">
        <f>(I16*VLOOKUP(J16, G3:K8, 5, FALSE) + I17*VLOOKUP(J17, G3:K8, 5, FALSE)+ I18*VLOOKUP(J18, G3:K8, 5, FALSE))/D15/D10</f>
        <v>8.3910060192035054E-4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6" t="s">
        <v>69</v>
      </c>
      <c r="C31" s="15"/>
      <c r="D31" s="15"/>
      <c r="E31" s="3"/>
      <c r="F31" s="3"/>
      <c r="G31" s="14" t="s">
        <v>70</v>
      </c>
      <c r="H31" s="15"/>
      <c r="I31" s="3">
        <f>I29+I30</f>
        <v>1.6782012038407011E-3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4" t="s">
        <v>71</v>
      </c>
      <c r="C32" s="15"/>
      <c r="D32" s="3">
        <f>I24/(2*(1+C30))</f>
        <v>8118.1894533202421</v>
      </c>
      <c r="E32" s="3"/>
      <c r="F32" s="3"/>
      <c r="G32" s="14" t="s">
        <v>72</v>
      </c>
      <c r="H32" s="15"/>
      <c r="I32" s="3">
        <f>I28*I29*$D$12</f>
        <v>3.1647220725603394E-2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4" t="s">
        <v>73</v>
      </c>
      <c r="C33" s="15"/>
      <c r="D33" s="3">
        <f>IF(I31*D12&gt;2.42, 2.42, I31*D12)</f>
        <v>0.67111266141589632</v>
      </c>
      <c r="E33" s="3">
        <f>D12*I31</f>
        <v>0.67111266141589632</v>
      </c>
      <c r="F33" s="3"/>
      <c r="G33" s="14" t="s">
        <v>74</v>
      </c>
      <c r="H33" s="15"/>
      <c r="I33" s="3">
        <f>I28*I30*D12</f>
        <v>3.1647220725603394E-2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4" t="s">
        <v>75</v>
      </c>
      <c r="C34" s="15"/>
      <c r="D34" s="3">
        <f>IF(D33/12.5+0.305-0.083*3&lt;0.0025, 0.0025, IF(D33/12.5+0.305-0.083*3&gt;0.25, 0.25, D33/12.5+0.305-0.083*3))</f>
        <v>0.10968901291327171</v>
      </c>
      <c r="E34" s="3">
        <f>D33/12.5+0.305-0.083*3</f>
        <v>0.10968901291327171</v>
      </c>
      <c r="F34" s="3"/>
      <c r="G34" s="14" t="s">
        <v>76</v>
      </c>
      <c r="H34" s="15"/>
      <c r="I34" s="3">
        <f>(I32+I33)/2/I21</f>
        <v>1.1764766068997545E-3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4" t="s">
        <v>77</v>
      </c>
      <c r="C35" s="15"/>
      <c r="D35" s="3">
        <f>0.0867*(D4*D5)*I21/13.8/(D4*D5)</f>
        <v>0.16900217391304345</v>
      </c>
      <c r="E35" s="3"/>
      <c r="F35" s="3"/>
      <c r="G35" s="14" t="s">
        <v>78</v>
      </c>
      <c r="H35" s="15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4" t="s">
        <v>79</v>
      </c>
      <c r="C36" s="15"/>
      <c r="D36" s="3">
        <f>IF(1+D35&gt;1.5, 1.5, 1+D35)</f>
        <v>1.1690021739130434</v>
      </c>
      <c r="E36" s="3">
        <f>1+D35</f>
        <v>1.1690021739130434</v>
      </c>
      <c r="F36" s="3"/>
      <c r="G36" s="14" t="s">
        <v>80</v>
      </c>
      <c r="H36" s="15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4" t="s">
        <v>81</v>
      </c>
      <c r="C37" s="15"/>
      <c r="D37" s="3">
        <f>IF(D34*D36*SQRT(I21)&gt;0.33*SQRT(I21), 0.33*SQRT(I21), D34*D36*SQRT(I21))</f>
        <v>0.66505044301265281</v>
      </c>
      <c r="E37" s="3"/>
      <c r="F37" s="3"/>
      <c r="G37" s="14" t="s">
        <v>82</v>
      </c>
      <c r="H37" s="15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4" t="s">
        <v>83</v>
      </c>
      <c r="C38" s="15"/>
      <c r="D38" s="3">
        <f>0.8*D4*D5*D37</f>
        <v>111213.37423659995</v>
      </c>
      <c r="E38" s="3"/>
      <c r="F38" s="3"/>
      <c r="G38" s="14" t="s">
        <v>84</v>
      </c>
      <c r="H38" s="15"/>
      <c r="I38" s="3">
        <f>1+I36*I34*(0.1+0.9/(1+I37*I34))</f>
        <v>1.0079418882367372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4" t="s">
        <v>85</v>
      </c>
      <c r="C39" s="15"/>
      <c r="D39" s="3">
        <f>(I11*VLOOKUP(J11, G3:K8, 5, FALSE) + I12*VLOOKUP(J12, G3:K8, 5, FALSE) + I13*VLOOKUP(J13, G3:K8, 5, FALSE))*D12*D15/D10</f>
        <v>46304.651453627834</v>
      </c>
      <c r="E39" s="3"/>
      <c r="F39" s="3"/>
      <c r="G39" s="14" t="s">
        <v>0</v>
      </c>
      <c r="H39" s="15"/>
      <c r="I39" s="3">
        <f>I21*I38</f>
        <v>27.113636793568229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4" t="s">
        <v>4</v>
      </c>
      <c r="C40" s="15"/>
      <c r="D40" s="3">
        <f>D38+D39</f>
        <v>157518.02569022778</v>
      </c>
      <c r="E40" s="3"/>
      <c r="F40" s="3"/>
      <c r="G40" s="14" t="s">
        <v>1</v>
      </c>
      <c r="H40" s="15"/>
      <c r="I40" s="3">
        <f>I22*(1+5*(I39/I21-1))</f>
        <v>2.0794188823673727E-3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4" t="s">
        <v>5</v>
      </c>
      <c r="C41" s="15"/>
      <c r="D41" s="3">
        <f>3/4*D32*D4*D5</f>
        <v>1272720059.1720932</v>
      </c>
      <c r="E41" s="3"/>
      <c r="F41" s="3"/>
      <c r="G41" s="14" t="s">
        <v>86</v>
      </c>
      <c r="H41" s="15"/>
      <c r="I41" s="3">
        <f>I24/(I24-I39/I40)</f>
        <v>3.0232483006871136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4" t="s">
        <v>3</v>
      </c>
      <c r="H42" s="15"/>
      <c r="I42" s="3">
        <f>0.004+0.14*D12/I21*I31</f>
        <v>7.4927796504916542E-3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4" t="s">
        <v>2</v>
      </c>
      <c r="H43" s="15"/>
      <c r="I43" s="3">
        <f>I39*I42/I40*I41/(I41-1+POWER(I42/I40, I41))</f>
        <v>5.8811120495486335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2024-05-16T11:38:57Z</dcterms:modified>
</cp:coreProperties>
</file>