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7E8B0467-34D2-4EBF-8E1B-26442D71630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j8wSaeUA4KvXrI9/oqgJjbyMiNGYy/5osd15X676jk="/>
    </ext>
  </extLst>
</workbook>
</file>

<file path=xl/calcChain.xml><?xml version="1.0" encoding="utf-8"?>
<calcChain xmlns="http://schemas.openxmlformats.org/spreadsheetml/2006/main">
  <c r="L21" i="2" l="1"/>
  <c r="L20" i="2"/>
  <c r="L19" i="2"/>
  <c r="L18" i="2"/>
  <c r="L17" i="2"/>
  <c r="M17" i="2" s="1"/>
  <c r="N17" i="2" s="1"/>
  <c r="L15" i="2"/>
  <c r="L14" i="2"/>
  <c r="L13" i="2"/>
  <c r="E36" i="2"/>
  <c r="D36" i="2"/>
  <c r="D35" i="2"/>
  <c r="I24" i="2"/>
  <c r="M20" i="2"/>
  <c r="N20" i="2" s="1"/>
  <c r="M19" i="2"/>
  <c r="N19" i="2" s="1"/>
  <c r="M18" i="2"/>
  <c r="N18" i="2" s="1"/>
  <c r="L16" i="2"/>
  <c r="M16" i="2" s="1"/>
  <c r="N16" i="2" s="1"/>
  <c r="L12" i="2"/>
  <c r="I8" i="2"/>
  <c r="J8" i="2" s="1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I3" i="2"/>
  <c r="J3" i="2" s="1"/>
  <c r="M12" i="2" l="1"/>
  <c r="N12" i="2" s="1"/>
  <c r="M21" i="2"/>
  <c r="N21" i="2" s="1"/>
  <c r="K8" i="2"/>
  <c r="D25" i="2" s="1"/>
  <c r="M14" i="2"/>
  <c r="N14" i="2" s="1"/>
  <c r="D14" i="2"/>
  <c r="D16" i="2"/>
  <c r="I29" i="2" s="1"/>
  <c r="D15" i="2"/>
  <c r="K3" i="2"/>
  <c r="D17" i="2" s="1"/>
  <c r="M13" i="2"/>
  <c r="N13" i="2" s="1"/>
  <c r="M15" i="2"/>
  <c r="N15" i="2" s="1"/>
  <c r="D32" i="2"/>
  <c r="D41" i="2" s="1"/>
  <c r="R6" i="2" s="1"/>
  <c r="F2" i="1" s="1"/>
  <c r="D18" i="2" l="1"/>
  <c r="I27" i="2" s="1"/>
  <c r="I28" i="2" s="1"/>
  <c r="D39" i="2"/>
  <c r="I30" i="2"/>
  <c r="I31" i="2" s="1"/>
  <c r="D27" i="2"/>
  <c r="D26" i="2"/>
  <c r="I42" i="2" l="1"/>
  <c r="T3" i="2" s="1"/>
  <c r="D2" i="1" s="1"/>
  <c r="E33" i="2"/>
  <c r="D33" i="2"/>
  <c r="I33" i="2"/>
  <c r="I32" i="2"/>
  <c r="I34" i="2" l="1"/>
  <c r="I35" i="2"/>
  <c r="I36" i="2" s="1"/>
  <c r="E34" i="2"/>
  <c r="D34" i="2"/>
  <c r="D37" i="2" s="1"/>
  <c r="D38" i="2" s="1"/>
  <c r="D40" i="2" s="1"/>
  <c r="Q6" i="2" s="1"/>
  <c r="E2" i="1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<sst xmlns="http://schemas.openxmlformats.org/spreadsheetml/2006/main" count="109" uniqueCount="87">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</sst>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352425</xdr:colOff>
      <xdr:row>16</xdr:row>
      <xdr:rowOff>133350</xdr:rowOff>
    </xdr:from>
    <xdr:ext cx="9486900" cy="702945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22.630132894266314</v>
      </c>
      <c r="B2" s="2">
        <f>Calculate!R3</f>
        <v>2.3333940156467195E-3</v>
      </c>
      <c r="C2" s="2">
        <f>Calculate!S3</f>
        <v>8.9113637000635357</v>
      </c>
      <c r="D2" s="2">
        <f>Calculate!T3</f>
        <v>9.1170773046926959E-3</v>
      </c>
      <c r="E2" s="2">
        <f>Calculate!Q6</f>
        <v>344058.62606968207</v>
      </c>
      <c r="F2" s="2">
        <f>Calculate!R6</f>
        <v>2296723965.3501248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22" sqref="L22:N27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22.630132894266314</v>
      </c>
      <c r="R3" s="1">
        <f>I40</f>
        <v>2.3333940156467195E-3</v>
      </c>
      <c r="S3" s="1">
        <f>I43</f>
        <v>8.9113637000635357</v>
      </c>
      <c r="T3" s="1">
        <f>I42</f>
        <v>9.1170773046926959E-3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v>457.2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v>914.4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38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344058.62606968207</v>
      </c>
      <c r="R6" s="1">
        <f>D41</f>
        <v>2296723965.3501248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38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406.4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5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400</v>
      </c>
      <c r="E12" s="3"/>
      <c r="F12" s="3"/>
      <c r="G12" s="3"/>
      <c r="H12" s="3"/>
      <c r="I12" s="10"/>
      <c r="J12" s="10" t="s">
        <v>15</v>
      </c>
      <c r="K12" s="3"/>
      <c r="L12" s="10">
        <f>53/4*25.4</f>
        <v>336.54999999999995</v>
      </c>
      <c r="M12" s="11">
        <f t="shared" ref="M12:M27" si="2">L12-VLOOKUP($D$22, $G$3:$K$8, 4, FALSE)</f>
        <v>311.14999999999998</v>
      </c>
      <c r="N12" s="3">
        <f t="shared" ref="N12:N27" si="3">M12^2</f>
        <v>96814.32249999998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f>125/4/7*25.4*2</f>
        <v>226.78571428571428</v>
      </c>
      <c r="M13" s="11">
        <f t="shared" si="2"/>
        <v>201.38571428571427</v>
      </c>
      <c r="N13" s="3">
        <f t="shared" si="3"/>
        <v>40556.205918367341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396.875</v>
      </c>
      <c r="E14" s="3"/>
      <c r="F14" s="3"/>
      <c r="G14" s="3"/>
      <c r="H14" s="3"/>
      <c r="K14" s="3"/>
      <c r="L14" s="10">
        <f>125/4/7*25.4*2</f>
        <v>226.78571428571428</v>
      </c>
      <c r="M14" s="11">
        <f t="shared" si="2"/>
        <v>201.38571428571427</v>
      </c>
      <c r="N14" s="3">
        <f t="shared" si="3"/>
        <v>40556.205918367341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371.67500000000001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f>125/4/7*25.4*2</f>
        <v>226.78571428571428</v>
      </c>
      <c r="M15" s="11">
        <f t="shared" si="2"/>
        <v>201.38571428571427</v>
      </c>
      <c r="N15" s="3">
        <f t="shared" si="3"/>
        <v>40556.205918367341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828.875</v>
      </c>
      <c r="E16" s="3"/>
      <c r="F16" s="3"/>
      <c r="G16" s="3"/>
      <c r="H16" s="3"/>
      <c r="I16" s="7">
        <v>2</v>
      </c>
      <c r="J16" s="10" t="s">
        <v>12</v>
      </c>
      <c r="K16" s="3"/>
      <c r="L16" s="10">
        <f t="shared" ref="L13:L21" si="4">125/4/7*25.4</f>
        <v>113.39285714285714</v>
      </c>
      <c r="M16" s="11">
        <f t="shared" si="2"/>
        <v>87.992857142857133</v>
      </c>
      <c r="N16" s="3">
        <f t="shared" si="3"/>
        <v>7742.7429081632636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0">
        <f>53/4*25.4</f>
        <v>336.54999999999995</v>
      </c>
      <c r="M17" s="11">
        <f t="shared" si="2"/>
        <v>311.14999999999998</v>
      </c>
      <c r="N17" s="3">
        <f t="shared" si="3"/>
        <v>96814.32249999998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308072.11562500003</v>
      </c>
      <c r="E18" s="3"/>
      <c r="F18" s="3"/>
      <c r="G18" s="3"/>
      <c r="H18" s="3"/>
      <c r="I18" s="10"/>
      <c r="J18" s="10" t="s">
        <v>18</v>
      </c>
      <c r="K18" s="3"/>
      <c r="L18" s="10">
        <f>125/4/7*25.4*2</f>
        <v>226.78571428571428</v>
      </c>
      <c r="M18" s="11">
        <f t="shared" si="2"/>
        <v>201.38571428571427</v>
      </c>
      <c r="N18" s="3">
        <f t="shared" si="3"/>
        <v>40556.205918367341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f>125/4/7*25.4*2</f>
        <v>226.78571428571428</v>
      </c>
      <c r="M19" s="11">
        <f t="shared" si="2"/>
        <v>201.38571428571427</v>
      </c>
      <c r="N19" s="3">
        <f t="shared" si="3"/>
        <v>40556.205918367341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L20" s="10">
        <f>125/4/7*25.4*2</f>
        <v>226.78571428571428</v>
      </c>
      <c r="M20" s="11">
        <f t="shared" si="2"/>
        <v>201.38571428571427</v>
      </c>
      <c r="N20" s="3">
        <f t="shared" si="3"/>
        <v>40556.205918367341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21.9</v>
      </c>
      <c r="J21" s="3"/>
      <c r="K21" s="3"/>
      <c r="L21" s="10">
        <f t="shared" si="4"/>
        <v>113.39285714285714</v>
      </c>
      <c r="M21" s="11">
        <f t="shared" si="2"/>
        <v>87.992857142857133</v>
      </c>
      <c r="N21" s="3">
        <f t="shared" si="3"/>
        <v>7742.7429081632636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26</v>
      </c>
      <c r="E22" s="3"/>
      <c r="F22" s="3"/>
      <c r="G22" s="13" t="s">
        <v>55</v>
      </c>
      <c r="H22" s="14"/>
      <c r="I22" s="3">
        <v>2E-3</v>
      </c>
      <c r="J22" s="3"/>
      <c r="K22" s="3"/>
      <c r="L22" s="10"/>
      <c r="M22" s="1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16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L23" s="10"/>
      <c r="M23" s="1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434</v>
      </c>
      <c r="E24" s="3"/>
      <c r="F24" s="3"/>
      <c r="G24" s="13" t="s">
        <v>59</v>
      </c>
      <c r="H24" s="14"/>
      <c r="I24" s="3">
        <f>15000*SQRT(I21*100/9.8)*0.8*9.8/100</f>
        <v>17579.897610623335</v>
      </c>
      <c r="J24" s="3"/>
      <c r="K24" s="3"/>
      <c r="L24" s="10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8107.3196655599631</v>
      </c>
      <c r="E25" s="3"/>
      <c r="F25" s="3"/>
      <c r="G25" s="3"/>
      <c r="H25" s="3"/>
      <c r="I25" s="3"/>
      <c r="J25" s="3"/>
      <c r="K25" s="3"/>
      <c r="L25" s="10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2.6316304703891399E-2</v>
      </c>
      <c r="E26" s="3"/>
      <c r="F26" s="3"/>
      <c r="G26" s="15" t="s">
        <v>62</v>
      </c>
      <c r="H26" s="14"/>
      <c r="I26" s="14"/>
      <c r="J26" s="3"/>
      <c r="K26" s="3"/>
      <c r="L26" s="10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1.9392547244381438E-2</v>
      </c>
      <c r="E27" s="3"/>
      <c r="F27" s="3"/>
      <c r="G27" s="13" t="s">
        <v>64</v>
      </c>
      <c r="H27" s="14"/>
      <c r="I27" s="3">
        <f>(D18-SUM(N:N)/6)*(1-D14/2/D16)*(1-D14/2/D15)</f>
        <v>82482.138779203175</v>
      </c>
      <c r="J27" s="3"/>
      <c r="L27" s="10"/>
      <c r="M27" s="1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0.27497272976778264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1.057662518807593E-3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9.4348021284901469E-4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2.0011427316566077E-3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7324.9573377597235</v>
      </c>
      <c r="E32" s="3"/>
      <c r="F32" s="3"/>
      <c r="G32" s="13" t="s">
        <v>72</v>
      </c>
      <c r="H32" s="14"/>
      <c r="I32" s="3">
        <f>I28*I29*$D$12</f>
        <v>0.11633133998783704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0.80045709266264309</v>
      </c>
      <c r="E33" s="3">
        <f>D12*I31</f>
        <v>0.80045709266264309</v>
      </c>
      <c r="F33" s="3"/>
      <c r="G33" s="13" t="s">
        <v>74</v>
      </c>
      <c r="H33" s="14"/>
      <c r="I33" s="3">
        <f>I28*I30*D12</f>
        <v>0.10377253184359286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0.12003656741301144</v>
      </c>
      <c r="E34" s="3">
        <f>D33/12.5+0.305-0.083*3</f>
        <v>0.12003656741301144</v>
      </c>
      <c r="F34" s="3"/>
      <c r="G34" s="13" t="s">
        <v>76</v>
      </c>
      <c r="H34" s="14"/>
      <c r="I34" s="3">
        <f>(I32+I33)/2/I21</f>
        <v>5.0252025532289933E-3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0.1375891304347826</v>
      </c>
      <c r="E35" s="3"/>
      <c r="F35" s="3"/>
      <c r="G35" s="13" t="s">
        <v>78</v>
      </c>
      <c r="H35" s="14"/>
      <c r="I35" s="3">
        <f>MIN(I32, I33)/MAX(I32, I33)</f>
        <v>0.89204277930988107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1.1375891304347827</v>
      </c>
      <c r="E36" s="3">
        <f>1+D35</f>
        <v>1.1375891304347827</v>
      </c>
      <c r="F36" s="3"/>
      <c r="G36" s="13" t="s">
        <v>80</v>
      </c>
      <c r="H36" s="14"/>
      <c r="I36" s="3">
        <f>6.8886-(0.6069+17.275*I35)*EXP(1)^(-4.989*I35)</f>
        <v>6.7016201787055518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0.63902972316069617</v>
      </c>
      <c r="E37" s="3"/>
      <c r="F37" s="3"/>
      <c r="G37" s="13" t="s">
        <v>82</v>
      </c>
      <c r="H37" s="14"/>
      <c r="I37" s="3">
        <f>4.5/(5/I36*(0.9849-0.6306*EXP(1)^(-3.989*I35))-0.1)-5</f>
        <v>2.241475264291708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213724.09415515346</v>
      </c>
      <c r="E38" s="3"/>
      <c r="F38" s="3"/>
      <c r="G38" s="13" t="s">
        <v>84</v>
      </c>
      <c r="H38" s="14"/>
      <c r="I38" s="3">
        <f>1+I36*I34*(0.1+0.9/(1+I37*I34))</f>
        <v>1.033339401564672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130334.53191452863</v>
      </c>
      <c r="E39" s="3"/>
      <c r="F39" s="3"/>
      <c r="G39" s="13" t="s">
        <v>0</v>
      </c>
      <c r="H39" s="14"/>
      <c r="I39" s="3">
        <f>I21*I38</f>
        <v>22.630132894266314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344058.62606968207</v>
      </c>
      <c r="E40" s="3"/>
      <c r="F40" s="3"/>
      <c r="G40" s="13" t="s">
        <v>1</v>
      </c>
      <c r="H40" s="14"/>
      <c r="I40" s="3">
        <f>I22*(1+5*(I39/I21-1))</f>
        <v>2.3333940156467195E-3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2296723965.3501248</v>
      </c>
      <c r="E41" s="3"/>
      <c r="F41" s="3"/>
      <c r="G41" s="13" t="s">
        <v>86</v>
      </c>
      <c r="H41" s="14"/>
      <c r="I41" s="3">
        <f>I24/(I24-I39/I40)</f>
        <v>2.230520810194458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9.1170773046926959E-3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8.9113637000635357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2024-05-16T11:46:35Z</dcterms:modified>
</cp:coreProperties>
</file>