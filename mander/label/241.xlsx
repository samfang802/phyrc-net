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5ufXYWFt97IsofFwpBJzc3YMaFMblAxJBlFB0SrGCeU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<sst xmlns="http://schemas.openxmlformats.org/spreadsheetml/2006/main" count="109" uniqueCount="86">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</sst>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16</xdr:row>
      <xdr:rowOff>161925</xdr:rowOff>
    </xdr:from>
    <xdr:ext cx="8791575" cy="62865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41.04479995</v>
      </c>
      <c r="B2" s="2">
        <f>Calculate!R3</f>
        <v>0.003245150672</v>
      </c>
      <c r="C2" s="2">
        <f>Calculate!S3</f>
        <v>4.69522828</v>
      </c>
      <c r="D2" s="2">
        <f>Calculate!T3</f>
        <v>0.03453700053</v>
      </c>
      <c r="E2" s="2">
        <f>Calculate!Q6</f>
        <v>103558.7811</v>
      </c>
      <c r="F2" s="2">
        <f>Calculate!R6</f>
        <v>329450876.6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41.04479995</v>
      </c>
      <c r="R3" s="1">
        <f>I40</f>
        <v>0.003245150672</v>
      </c>
      <c r="S3" s="1">
        <f>I43</f>
        <v>4.69522828</v>
      </c>
      <c r="T3" s="1">
        <f>I42</f>
        <v>0.03453700053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103558.7811</v>
      </c>
      <c r="R6" s="1">
        <f>D41</f>
        <v>329450876.6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36.5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22695.55022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9456.47926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0.0229307463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0.2293152174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1.229315217</v>
      </c>
      <c r="E36" s="3">
        <f>1+D35</f>
        <v>1.229315217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1.853763262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68888.09697</v>
      </c>
      <c r="E38" s="3"/>
      <c r="F38" s="3"/>
      <c r="G38" s="3" t="s">
        <v>83</v>
      </c>
      <c r="I38" s="3">
        <f>1+I36*I34*(0.1+0.9/(1+I37*I34))</f>
        <v>1.124515067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41.04479995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103558.7811</v>
      </c>
      <c r="E40" s="3"/>
      <c r="F40" s="3"/>
      <c r="G40" s="3" t="s">
        <v>1</v>
      </c>
      <c r="I40" s="3">
        <f>I22*(1+5*(I39/I21-1))</f>
        <v>0.003245150672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329450876.6</v>
      </c>
      <c r="E41" s="3"/>
      <c r="F41" s="3"/>
      <c r="G41" s="3" t="s">
        <v>85</v>
      </c>
      <c r="I41" s="3">
        <f>I24/(I24-I39/I40)</f>
        <v>2.25882361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0.03453700053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4.69522828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