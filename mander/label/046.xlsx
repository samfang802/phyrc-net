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191DE77B-C659-4D99-8275-B5A74F5EC3B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92/jsmJA0YcwgIO8/hnLMC9Ck+6NXxOd7kwKw9P1RZE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D17" i="2"/>
  <c r="D16" i="2"/>
  <c r="I29" i="2" s="1"/>
  <c r="M15" i="2"/>
  <c r="N15" i="2" s="1"/>
  <c r="D15" i="2"/>
  <c r="D39" i="2" s="1"/>
  <c r="M14" i="2"/>
  <c r="N14" i="2" s="1"/>
  <c r="D14" i="2"/>
  <c r="M13" i="2"/>
  <c r="N13" i="2" s="1"/>
  <c r="M12" i="2"/>
  <c r="N12" i="2" s="1"/>
  <c r="K8" i="2"/>
  <c r="J8" i="2"/>
  <c r="I8" i="2"/>
  <c r="I7" i="2"/>
  <c r="J7" i="2" s="1"/>
  <c r="K7" i="2" s="1"/>
  <c r="I6" i="2"/>
  <c r="J6" i="2" s="1"/>
  <c r="K6" i="2" s="1"/>
  <c r="I5" i="2"/>
  <c r="J5" i="2" s="1"/>
  <c r="K5" i="2" s="1"/>
  <c r="K4" i="2"/>
  <c r="I4" i="2"/>
  <c r="I3" i="2"/>
  <c r="J3" i="2" s="1"/>
  <c r="K3" i="2" s="1"/>
  <c r="D25" i="2" s="1"/>
  <c r="D27" i="2" l="1"/>
  <c r="D18" i="2"/>
  <c r="I27" i="2" s="1"/>
  <c r="I30" i="2"/>
  <c r="I31" i="2" s="1"/>
  <c r="I42" i="2" l="1"/>
  <c r="T3" i="2" s="1"/>
  <c r="D2" i="1" s="1"/>
  <c r="D33" i="2"/>
  <c r="E33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<sst xmlns="http://schemas.openxmlformats.org/spreadsheetml/2006/main" count="109" uniqueCount="86">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</sst>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6438900" cy="33242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59.723589858272561</v>
      </c>
      <c r="B2" s="2">
        <f>Calculate!R3</f>
        <v>1.2737357589677973E-2</v>
      </c>
      <c r="C2" s="2">
        <f>Calculate!S3</f>
        <v>36.210334134040181</v>
      </c>
      <c r="D2" s="2">
        <f>Calculate!T3</f>
        <v>0.15294428828940118</v>
      </c>
      <c r="E2" s="2">
        <f>Calculate!Q6</f>
        <v>291304.24327149801</v>
      </c>
      <c r="F2" s="2">
        <f>Calculate!R6</f>
        <v>161280000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4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5" t="s">
        <v>13</v>
      </c>
      <c r="I3" s="5">
        <f>3/8</f>
        <v>0.375</v>
      </c>
      <c r="J3" s="5">
        <f>I3*25.4</f>
        <v>9.5249999999999986</v>
      </c>
      <c r="K3" s="1">
        <f t="shared" ref="K3:K8" si="0">PI()*J3^2/4</f>
        <v>71.255739248085604</v>
      </c>
      <c r="L3" s="3"/>
      <c r="M3" s="3"/>
      <c r="N3" s="3"/>
      <c r="O3" s="3"/>
      <c r="P3" s="3"/>
      <c r="Q3" s="1">
        <f>I39</f>
        <v>59.723589858272561</v>
      </c>
      <c r="R3" s="1">
        <f>I40</f>
        <v>1.2737357589677973E-2</v>
      </c>
      <c r="S3" s="1">
        <f>I43</f>
        <v>36.210334134040181</v>
      </c>
      <c r="T3" s="1">
        <f>I42</f>
        <v>0.15294428828940118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14</v>
      </c>
      <c r="C4" s="16"/>
      <c r="D4" s="7">
        <v>160</v>
      </c>
      <c r="E4" s="3"/>
      <c r="F4" s="3"/>
      <c r="G4" s="8" t="s">
        <v>15</v>
      </c>
      <c r="H4" s="9" t="s">
        <v>15</v>
      </c>
      <c r="I4" s="5">
        <f>5/25.4</f>
        <v>0.19685039370078741</v>
      </c>
      <c r="J4" s="9">
        <v>5</v>
      </c>
      <c r="K4" s="1">
        <f t="shared" si="0"/>
        <v>19.634954084936208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7">
        <v>160</v>
      </c>
      <c r="E5" s="3"/>
      <c r="F5" s="3"/>
      <c r="G5" s="6" t="s">
        <v>17</v>
      </c>
      <c r="H5" s="5" t="s">
        <v>18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7">
        <v>12.5</v>
      </c>
      <c r="E6" s="3"/>
      <c r="F6" s="3"/>
      <c r="G6" s="6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291304.24327149801</v>
      </c>
      <c r="R6" s="1">
        <f>D41</f>
        <v>161280000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7">
        <v>12.5</v>
      </c>
      <c r="E7" s="3"/>
      <c r="F7" s="3"/>
      <c r="G7" s="6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7">
        <v>40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7" t="s">
        <v>15</v>
      </c>
      <c r="E11" s="3"/>
      <c r="F11" s="3"/>
      <c r="G11" s="3"/>
      <c r="H11" s="3"/>
      <c r="I11" s="12"/>
      <c r="J11" s="12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7">
        <v>559</v>
      </c>
      <c r="E12" s="3"/>
      <c r="F12" s="3"/>
      <c r="G12" s="3"/>
      <c r="H12" s="3"/>
      <c r="I12" s="7">
        <v>2</v>
      </c>
      <c r="J12" s="7" t="s">
        <v>12</v>
      </c>
      <c r="K12" s="3"/>
      <c r="L12" s="12">
        <v>115.6</v>
      </c>
      <c r="M12" s="13">
        <f t="shared" ref="M12:M19" si="2">L12-VLOOKUP($D$22, $G$3:$K$8, 4, FALSE)</f>
        <v>106.07499999999999</v>
      </c>
      <c r="N12" s="3">
        <f t="shared" ref="N12:N19" si="3">M12^2</f>
        <v>11251.905624999998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7">
        <v>1</v>
      </c>
      <c r="E13" s="3"/>
      <c r="F13" s="3"/>
      <c r="G13" s="3"/>
      <c r="H13" s="3"/>
      <c r="I13" s="12"/>
      <c r="J13" s="12" t="s">
        <v>17</v>
      </c>
      <c r="K13" s="3"/>
      <c r="L13" s="12">
        <v>115.6</v>
      </c>
      <c r="M13" s="13">
        <f t="shared" si="2"/>
        <v>106.07499999999999</v>
      </c>
      <c r="N13" s="3">
        <f t="shared" si="3"/>
        <v>11251.905624999998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35</v>
      </c>
      <c r="E14" s="3"/>
      <c r="F14" s="3"/>
      <c r="G14" s="3"/>
      <c r="H14" s="3"/>
      <c r="K14" s="3"/>
      <c r="L14" s="12">
        <v>115.6</v>
      </c>
      <c r="M14" s="13">
        <f t="shared" si="2"/>
        <v>106.07499999999999</v>
      </c>
      <c r="N14" s="3">
        <f t="shared" si="3"/>
        <v>11251.905624999998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130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v>115.6</v>
      </c>
      <c r="M15" s="13">
        <f t="shared" si="2"/>
        <v>106.07499999999999</v>
      </c>
      <c r="N15" s="3">
        <f t="shared" si="3"/>
        <v>11251.905624999998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130</v>
      </c>
      <c r="E16" s="3"/>
      <c r="F16" s="3"/>
      <c r="G16" s="3"/>
      <c r="H16" s="3"/>
      <c r="I16" s="12"/>
      <c r="J16" s="12" t="s">
        <v>12</v>
      </c>
      <c r="K16" s="3"/>
      <c r="L16" s="12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19.634954084936208</v>
      </c>
      <c r="E17" s="3"/>
      <c r="F17" s="3"/>
      <c r="G17" s="3"/>
      <c r="H17" s="3"/>
      <c r="I17" s="7">
        <v>2</v>
      </c>
      <c r="J17" s="7" t="s">
        <v>12</v>
      </c>
      <c r="K17" s="3"/>
      <c r="L17" s="12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16900</v>
      </c>
      <c r="E18" s="3"/>
      <c r="F18" s="3"/>
      <c r="G18" s="3"/>
      <c r="H18" s="3"/>
      <c r="I18" s="12"/>
      <c r="J18" s="12" t="s">
        <v>17</v>
      </c>
      <c r="K18" s="3"/>
      <c r="L18" s="12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7">
        <v>28.8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7" t="s">
        <v>12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7">
        <v>8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7">
        <v>341</v>
      </c>
      <c r="E24" s="3"/>
      <c r="F24" s="3"/>
      <c r="G24" s="15" t="s">
        <v>58</v>
      </c>
      <c r="H24" s="16"/>
      <c r="I24" s="3">
        <f>15000*SQRT(I21*100/9.8)*0.8*9.8/100</f>
        <v>20160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570.04591398468483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3.3730527454715081E-2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2.2267418515026751E-2</v>
      </c>
      <c r="E27" s="3"/>
      <c r="F27" s="3"/>
      <c r="G27" s="15" t="s">
        <v>63</v>
      </c>
      <c r="H27" s="16"/>
      <c r="I27" s="3">
        <f>(D18-SUM(N:N)/6)*(1-D14/2/D16)*(1-D14/2/D15)</f>
        <v>7038.6196029031071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0.43102506999274764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2.7406053556956002E-2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2.7406053556956002E-2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5.4812107113912004E-2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8400</v>
      </c>
      <c r="E32" s="3"/>
      <c r="F32" s="3"/>
      <c r="G32" s="15" t="s">
        <v>71</v>
      </c>
      <c r="H32" s="16"/>
      <c r="I32" s="3">
        <f>I28*I29*$D$12</f>
        <v>6.6032971493100812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30.63996787667681</v>
      </c>
      <c r="F33" s="3"/>
      <c r="G33" s="15" t="s">
        <v>73</v>
      </c>
      <c r="H33" s="16"/>
      <c r="I33" s="3">
        <f>I28*I30*D12</f>
        <v>6.6032971493100812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0.22928115101771115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0.1809391304347826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1.1809391304347825</v>
      </c>
      <c r="E36" s="3">
        <f>1+D35</f>
        <v>1.1809391304347825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1.5818610699989746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32396.514713578999</v>
      </c>
      <c r="E38" s="3"/>
      <c r="F38" s="3"/>
      <c r="G38" s="15" t="s">
        <v>83</v>
      </c>
      <c r="H38" s="16"/>
      <c r="I38" s="3">
        <f>1+I36*I34*(0.1+0.9/(1+I37*I34))</f>
        <v>2.0737357589677972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258907.72855791901</v>
      </c>
      <c r="E39" s="3"/>
      <c r="F39" s="3"/>
      <c r="G39" s="15" t="s">
        <v>0</v>
      </c>
      <c r="H39" s="16"/>
      <c r="I39" s="3">
        <f>I21*I38</f>
        <v>59.723589858272561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291304.24327149801</v>
      </c>
      <c r="E40" s="3"/>
      <c r="F40" s="3"/>
      <c r="G40" s="15" t="s">
        <v>1</v>
      </c>
      <c r="H40" s="16"/>
      <c r="I40" s="3">
        <f>I22*(1+5*(I39/I21-1))</f>
        <v>1.2737357589677973E-2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161280000</v>
      </c>
      <c r="E41" s="3"/>
      <c r="F41" s="3"/>
      <c r="G41" s="15" t="s">
        <v>85</v>
      </c>
      <c r="H41" s="16"/>
      <c r="I41" s="3">
        <f>I24/(I24-I39/I40)</f>
        <v>1.3030707570639772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0.15294428828940118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36.210334134040181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2024-05-16T11:13:51Z</dcterms:modified>
</cp:coreProperties>
</file>