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ny59D4tD3hFjW5RFk+gUUBFkCySdKNOmN1NbXD73leA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<sst xmlns="http://schemas.openxmlformats.org/spreadsheetml/2006/main" count="109" uniqueCount="86">
  <si>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</si>
  <si>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</si>
  <si>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</si>
  <si>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</si>
  <si>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</si>
  <si>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</si>
  <si>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</si>
  <si>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</si>
  <si>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</si>
  <si>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</si>
  <si>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</si>
  <si>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</si>
  <si>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</si>
  <si>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</si>
  <si>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</si>
  <si>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5mm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</si>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</sst>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6438900" cy="33242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44.62548325</v>
      </c>
      <c r="B2" s="2">
        <f>Calculate!R3</f>
        <v>0.007494959462</v>
      </c>
      <c r="C2" s="2">
        <f>Calculate!S3</f>
        <v>28.91430988</v>
      </c>
      <c r="D2" s="2">
        <f>Calculate!T3</f>
        <v>0.04504250819</v>
      </c>
      <c r="E2" s="2">
        <f>Calculate!Q6</f>
        <v>103740.1204</v>
      </c>
      <c r="F2" s="2">
        <f>Calculate!R6</f>
        <v>161280000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44.62548325</v>
      </c>
      <c r="R3" s="1">
        <f>I40</f>
        <v>0.007494959462</v>
      </c>
      <c r="S3" s="1">
        <f>I43</f>
        <v>28.91430988</v>
      </c>
      <c r="T3" s="1">
        <f>I42</f>
        <v>0.04504250819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160.0</v>
      </c>
      <c r="E4" s="3"/>
      <c r="F4" s="3"/>
      <c r="G4" s="10" t="s">
        <v>15</v>
      </c>
      <c r="H4" s="11" t="s">
        <v>15</v>
      </c>
      <c r="I4" s="6">
        <f>5/25.4</f>
        <v>0.1968503937</v>
      </c>
      <c r="J4" s="6">
        <f>5</f>
        <v>5</v>
      </c>
      <c r="K4" s="1">
        <f t="shared" si="1"/>
        <v>19.63495408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160.0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12.5</v>
      </c>
      <c r="E6" s="3"/>
      <c r="F6" s="3"/>
      <c r="G6" s="8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103740.1204</v>
      </c>
      <c r="R6" s="1">
        <f>D41</f>
        <v>161280000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12.5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40.0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559.0</v>
      </c>
      <c r="E12" s="3"/>
      <c r="F12" s="3"/>
      <c r="G12" s="3"/>
      <c r="H12" s="3"/>
      <c r="I12" s="9">
        <v>2.0</v>
      </c>
      <c r="J12" s="9" t="s">
        <v>15</v>
      </c>
      <c r="K12" s="3"/>
      <c r="L12" s="15">
        <f t="shared" ref="L12:L19" si="3">115.5/2</f>
        <v>57.75</v>
      </c>
      <c r="M12" s="16">
        <f t="shared" ref="M12:M19" si="4">L12-VLOOKUP($D$22, $G$3:$K$8, 4, FALSE)</f>
        <v>48.225</v>
      </c>
      <c r="N12" s="3">
        <f t="shared" ref="N12:N19" si="5">M12^2</f>
        <v>2325.650625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2.0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3"/>
        <v>57.75</v>
      </c>
      <c r="M13" s="16">
        <f t="shared" si="4"/>
        <v>48.225</v>
      </c>
      <c r="N13" s="3">
        <f t="shared" si="5"/>
        <v>2325.650625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30</v>
      </c>
      <c r="E14" s="3"/>
      <c r="F14" s="3"/>
      <c r="G14" s="3"/>
      <c r="H14" s="3"/>
      <c r="K14" s="3"/>
      <c r="L14" s="15">
        <f t="shared" si="3"/>
        <v>57.75</v>
      </c>
      <c r="M14" s="16">
        <f t="shared" si="4"/>
        <v>48.225</v>
      </c>
      <c r="N14" s="3">
        <f t="shared" si="5"/>
        <v>2325.650625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130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3"/>
        <v>57.75</v>
      </c>
      <c r="M15" s="16">
        <f t="shared" si="4"/>
        <v>48.225</v>
      </c>
      <c r="N15" s="3">
        <f t="shared" si="5"/>
        <v>2325.650625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130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57.75</v>
      </c>
      <c r="M16" s="16">
        <f t="shared" si="4"/>
        <v>48.225</v>
      </c>
      <c r="N16" s="3">
        <f t="shared" si="5"/>
        <v>2325.650625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39.26990817</v>
      </c>
      <c r="E17" s="3"/>
      <c r="F17" s="3"/>
      <c r="G17" s="3"/>
      <c r="H17" s="3"/>
      <c r="I17" s="9">
        <v>2.0</v>
      </c>
      <c r="J17" s="9" t="s">
        <v>15</v>
      </c>
      <c r="K17" s="3"/>
      <c r="L17" s="15">
        <f t="shared" si="3"/>
        <v>57.75</v>
      </c>
      <c r="M17" s="16">
        <f t="shared" si="4"/>
        <v>48.225</v>
      </c>
      <c r="N17" s="3">
        <f t="shared" si="5"/>
        <v>2325.650625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16900</v>
      </c>
      <c r="E18" s="3"/>
      <c r="F18" s="3"/>
      <c r="G18" s="3"/>
      <c r="H18" s="3"/>
      <c r="I18" s="15"/>
      <c r="J18" s="15" t="s">
        <v>17</v>
      </c>
      <c r="K18" s="3"/>
      <c r="L18" s="15">
        <f t="shared" si="3"/>
        <v>57.75</v>
      </c>
      <c r="M18" s="16">
        <f t="shared" si="4"/>
        <v>48.225</v>
      </c>
      <c r="N18" s="3">
        <f t="shared" si="5"/>
        <v>2325.650625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57.75</v>
      </c>
      <c r="M19" s="16">
        <f t="shared" si="4"/>
        <v>48.225</v>
      </c>
      <c r="N19" s="3">
        <f t="shared" si="5"/>
        <v>2325.650625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28.8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12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8.0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341.0</v>
      </c>
      <c r="E24" s="3"/>
      <c r="F24" s="3"/>
      <c r="G24" s="3" t="s">
        <v>58</v>
      </c>
      <c r="I24" s="3">
        <f>15000*SQRT(I21*100/9.8)*0.8*9.8/100</f>
        <v>20160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570.045914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0.03373052745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0.02226741852</v>
      </c>
      <c r="E27" s="3"/>
      <c r="F27" s="3"/>
      <c r="G27" s="3" t="s">
        <v>63</v>
      </c>
      <c r="I27" s="3">
        <f>(D18-SUM(N:N)/6)*(1-D14/2/D16)*(1-D14/2/D15)</f>
        <v>10798.43357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0.6612653968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0.007551905417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0.007551905417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0.01510381083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8400</v>
      </c>
      <c r="E32" s="3"/>
      <c r="F32" s="3"/>
      <c r="G32" s="3" t="s">
        <v>71</v>
      </c>
      <c r="I32" s="3">
        <f>I28*I29*$D$12</f>
        <v>2.791541876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8.443030257</v>
      </c>
      <c r="F33" s="3"/>
      <c r="G33" s="3" t="s">
        <v>73</v>
      </c>
      <c r="I33" s="3">
        <f>I28*I30*D12</f>
        <v>2.791541876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0.09692853738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0.1809391304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1.18093913</v>
      </c>
      <c r="E36" s="3">
        <f>1+D35</f>
        <v>1.18093913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1.58186107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32396.51471</v>
      </c>
      <c r="E38" s="3"/>
      <c r="F38" s="3"/>
      <c r="G38" s="3" t="s">
        <v>83</v>
      </c>
      <c r="I38" s="3">
        <f>1+I36*I34*(0.1+0.9/(1+I37*I34))</f>
        <v>1.549495946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71343.60567</v>
      </c>
      <c r="E39" s="3"/>
      <c r="F39" s="3"/>
      <c r="G39" s="3" t="s">
        <v>0</v>
      </c>
      <c r="I39" s="3">
        <f>I21*I38</f>
        <v>44.62548325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103740.1204</v>
      </c>
      <c r="E40" s="3"/>
      <c r="F40" s="3"/>
      <c r="G40" s="3" t="s">
        <v>1</v>
      </c>
      <c r="I40" s="3">
        <f>I22*(1+5*(I39/I21-1))</f>
        <v>0.007494959462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161280000</v>
      </c>
      <c r="E41" s="3"/>
      <c r="F41" s="3"/>
      <c r="G41" s="3" t="s">
        <v>85</v>
      </c>
      <c r="I41" s="3">
        <f>I24/(I24-I39/I40)</f>
        <v>1.419125275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0.04504250819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28.91430988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