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7448715F-256F-45A0-8636-5E722841FA1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SbCfrXvkkCclDoY31Vcew3/yw3rYzqNlJiHQ7dgoBw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7" i="2"/>
  <c r="D16" i="2"/>
  <c r="M15" i="2"/>
  <c r="N15" i="2" s="1"/>
  <c r="D15" i="2"/>
  <c r="D39" i="2" s="1"/>
  <c r="M14" i="2"/>
  <c r="N14" i="2" s="1"/>
  <c r="D14" i="2"/>
  <c r="M13" i="2"/>
  <c r="N13" i="2" s="1"/>
  <c r="K8" i="2"/>
  <c r="J8" i="2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K3" i="2"/>
  <c r="I3" i="2"/>
  <c r="D25" i="2" l="1"/>
  <c r="I29" i="2"/>
  <c r="I31" i="2" s="1"/>
  <c r="I30" i="2"/>
  <c r="M12" i="2"/>
  <c r="N12" i="2" s="1"/>
  <c r="D18" i="2"/>
  <c r="I27" i="2" l="1"/>
  <c r="I42" i="2"/>
  <c r="T3" i="2" s="1"/>
  <c r="D2" i="1" s="1"/>
  <c r="E33" i="2"/>
  <c r="D33" i="2"/>
  <c r="D27" i="2"/>
  <c r="D26" i="2"/>
  <c r="I28" i="2" l="1"/>
  <c r="I33" i="2" s="1"/>
  <c r="E34" i="2"/>
  <c r="D34" i="2"/>
  <c r="D37" i="2" s="1"/>
  <c r="D38" i="2" s="1"/>
  <c r="D40" i="2" s="1"/>
  <c r="Q6" i="2" s="1"/>
  <c r="E2" i="1" s="1"/>
  <c r="I32" i="2" l="1"/>
  <c r="I34" i="2" s="1"/>
  <c r="I35" i="2" l="1"/>
  <c r="I36" i="2" s="1"/>
  <c r="I37" i="2" s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<sst xmlns="http://schemas.openxmlformats.org/spreadsheetml/2006/main" count="109" uniqueCount="86">
  <si>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</si>
  <si>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</si>
  <si>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</si>
  <si>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</si>
  <si>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</si>
  <si>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</si>
  <si>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</si>
  <si>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</si>
  <si>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</si>
  <si>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</si>
  <si>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</si>
  <si>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</si>
  <si>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4mm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</si>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</sst>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19</xdr:row>
      <xdr:rowOff>0</xdr:rowOff>
    </xdr:from>
    <xdr:ext cx="2667000" cy="27432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33.382103019268726</v>
      </c>
      <c r="B2" s="2">
        <f>Calculate!R3</f>
        <v>2.4975166727260151E-3</v>
      </c>
      <c r="C2" s="2">
        <f>Calculate!S3</f>
        <v>8.8204517944435707</v>
      </c>
      <c r="D2" s="2">
        <f>Calculate!T3</f>
        <v>9.4933155518306875E-3</v>
      </c>
      <c r="E2" s="2">
        <f>Calculate!Q6</f>
        <v>42509.066830967713</v>
      </c>
      <c r="F2" s="2">
        <f>Calculate!R6</f>
        <v>214487938.82174352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4/25.4</f>
        <v>0.15748031496062992</v>
      </c>
      <c r="J3" s="7">
        <v>4</v>
      </c>
      <c r="K3" s="1">
        <f t="shared" ref="K3:K8" si="0">PI()*J3^2/4</f>
        <v>12.566370614359172</v>
      </c>
      <c r="L3" s="3"/>
      <c r="M3" s="3"/>
      <c r="N3" s="3"/>
      <c r="O3" s="3"/>
      <c r="P3" s="3"/>
      <c r="Q3" s="1">
        <f>I39</f>
        <v>33.382103019268726</v>
      </c>
      <c r="R3" s="1">
        <f>I40</f>
        <v>2.4975166727260151E-3</v>
      </c>
      <c r="S3" s="1">
        <f>I43</f>
        <v>8.8204517944435707</v>
      </c>
      <c r="T3" s="1">
        <f>I42</f>
        <v>9.4933155518306875E-3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180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180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10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42509.066830967713</v>
      </c>
      <c r="R6" s="1">
        <f>D41</f>
        <v>214487938.82174352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10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64.3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249</v>
      </c>
      <c r="E12" s="3"/>
      <c r="F12" s="3"/>
      <c r="G12" s="3"/>
      <c r="H12" s="3"/>
      <c r="I12" s="12"/>
      <c r="J12" s="12" t="s">
        <v>14</v>
      </c>
      <c r="K12" s="3"/>
      <c r="L12" s="12">
        <v>139.4</v>
      </c>
      <c r="M12" s="13">
        <f t="shared" ref="M12:M19" si="2">L12-VLOOKUP($D$22, $G$3:$K$8, 4, FALSE)</f>
        <v>126.7</v>
      </c>
      <c r="N12" s="3">
        <f t="shared" ref="N12:N19" si="3">M12^2</f>
        <v>16052.890000000001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139.4</v>
      </c>
      <c r="M13" s="13">
        <f t="shared" si="2"/>
        <v>126.7</v>
      </c>
      <c r="N13" s="3">
        <f t="shared" si="3"/>
        <v>16052.890000000001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60.3</v>
      </c>
      <c r="E14" s="3"/>
      <c r="F14" s="3"/>
      <c r="G14" s="3"/>
      <c r="H14" s="3"/>
      <c r="K14" s="3"/>
      <c r="L14" s="12">
        <v>139.4</v>
      </c>
      <c r="M14" s="13">
        <f t="shared" si="2"/>
        <v>126.7</v>
      </c>
      <c r="N14" s="3">
        <f t="shared" si="3"/>
        <v>16052.890000000001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156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139.4</v>
      </c>
      <c r="M15" s="13">
        <f t="shared" si="2"/>
        <v>126.7</v>
      </c>
      <c r="N15" s="3">
        <f t="shared" si="3"/>
        <v>16052.890000000001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156</v>
      </c>
      <c r="E16" s="3"/>
      <c r="F16" s="3"/>
      <c r="G16" s="3"/>
      <c r="H16" s="3"/>
      <c r="I16" s="8">
        <v>2</v>
      </c>
      <c r="J16" s="8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12.566370614359172</v>
      </c>
      <c r="E17" s="3"/>
      <c r="F17" s="3"/>
      <c r="G17" s="3"/>
      <c r="H17" s="3"/>
      <c r="I17" s="12"/>
      <c r="J17" s="12" t="s">
        <v>14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24336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31.8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340</v>
      </c>
      <c r="E24" s="3"/>
      <c r="F24" s="3"/>
      <c r="G24" s="15" t="s">
        <v>58</v>
      </c>
      <c r="H24" s="16"/>
      <c r="I24" s="3">
        <f>15000*SQRT(I21*100/9.8)*0.8*9.8/100</f>
        <v>21183.993957703067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1013.4149581949954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4.1642626487302575E-2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3.1278239450462819E-2</v>
      </c>
      <c r="E27" s="3"/>
      <c r="F27" s="3"/>
      <c r="G27" s="15" t="s">
        <v>63</v>
      </c>
      <c r="H27" s="16"/>
      <c r="I27" s="3">
        <f>(D18-SUM(N:N)/6)*(1-D14/2/D16)*(1-D14/2/D15)</f>
        <v>8873.2530832778593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0.38045752935932403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2.5055570072893833E-3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2.5055570072893833E-3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5.0111140145787667E-3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8826.6641490429447</v>
      </c>
      <c r="E32" s="3"/>
      <c r="F32" s="3"/>
      <c r="G32" s="15" t="s">
        <v>71</v>
      </c>
      <c r="H32" s="16"/>
      <c r="I32" s="3">
        <f>I28*I29*$D$12</f>
        <v>0.2373612491369029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1.2477673896301129</v>
      </c>
      <c r="E33" s="3">
        <f>D12*I31</f>
        <v>1.2477673896301129</v>
      </c>
      <c r="F33" s="3"/>
      <c r="G33" s="15" t="s">
        <v>73</v>
      </c>
      <c r="H33" s="16"/>
      <c r="I33" s="3">
        <f>I28*I30*D12</f>
        <v>0.2373612491369029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0.15582139117040905</v>
      </c>
      <c r="E34" s="3">
        <f>D33/12.5+0.305-0.083*3</f>
        <v>0.15582139117040905</v>
      </c>
      <c r="F34" s="3"/>
      <c r="G34" s="15" t="s">
        <v>75</v>
      </c>
      <c r="H34" s="16"/>
      <c r="I34" s="3">
        <f>(I32+I33)/2/I21</f>
        <v>7.4641902244309086E-3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0.19978695652173914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1.1997869565217392</v>
      </c>
      <c r="E36" s="3">
        <f>1+D35</f>
        <v>1.1997869565217392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1.0542528253838155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27326.233233948496</v>
      </c>
      <c r="E38" s="3"/>
      <c r="F38" s="3"/>
      <c r="G38" s="15" t="s">
        <v>83</v>
      </c>
      <c r="H38" s="16"/>
      <c r="I38" s="3">
        <f>1+I36*I34*(0.1+0.9/(1+I37*I34))</f>
        <v>1.0497516672726015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15182.833597019213</v>
      </c>
      <c r="E39" s="3"/>
      <c r="F39" s="3"/>
      <c r="G39" s="15" t="s">
        <v>0</v>
      </c>
      <c r="H39" s="16"/>
      <c r="I39" s="3">
        <f>I21*I38</f>
        <v>33.382103019268726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42509.066830967713</v>
      </c>
      <c r="E40" s="3"/>
      <c r="F40" s="3"/>
      <c r="G40" s="15" t="s">
        <v>1</v>
      </c>
      <c r="H40" s="16"/>
      <c r="I40" s="3">
        <f>I22*(1+5*(I39/I21-1))</f>
        <v>2.4975166727260151E-3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214487938.82174352</v>
      </c>
      <c r="E41" s="3"/>
      <c r="F41" s="3"/>
      <c r="G41" s="15" t="s">
        <v>85</v>
      </c>
      <c r="H41" s="16"/>
      <c r="I41" s="3">
        <f>I24/(I24-I39/I40)</f>
        <v>2.709686694497671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9.4933155518306875E-3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8.8204517944435707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2024-05-16T11:15:46Z</dcterms:modified>
</cp:coreProperties>
</file>