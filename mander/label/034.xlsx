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ingyan\Downloads\mander\label\"/>
    </mc:Choice>
  </mc:AlternateContent>
  <xr:revisionPtr revIDLastSave="0" documentId="13_ncr:1_{F239A314-636D-4809-BE86-7A5CC14036A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cord" sheetId="1" r:id="rId1"/>
    <sheet name="Calcul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34hQan2eW115iaz/h1QAV9lkImGAsgkec9hXz/RqjqI="/>
    </ext>
  </extLst>
</workbook>
</file>

<file path=xl/calcChain.xml><?xml version="1.0" encoding="utf-8"?>
<calcChain xmlns="http://schemas.openxmlformats.org/spreadsheetml/2006/main">
  <c r="D41" i="2" l="1"/>
  <c r="R6" i="2" s="1"/>
  <c r="F2" i="1" s="1"/>
  <c r="E36" i="2"/>
  <c r="D36" i="2"/>
  <c r="D35" i="2"/>
  <c r="D32" i="2"/>
  <c r="D25" i="2"/>
  <c r="D27" i="2" s="1"/>
  <c r="I24" i="2"/>
  <c r="D16" i="2"/>
  <c r="M15" i="2"/>
  <c r="N15" i="2" s="1"/>
  <c r="D15" i="2"/>
  <c r="D18" i="2" s="1"/>
  <c r="M14" i="2"/>
  <c r="N14" i="2" s="1"/>
  <c r="D14" i="2"/>
  <c r="M13" i="2"/>
  <c r="N13" i="2" s="1"/>
  <c r="M12" i="2"/>
  <c r="N12" i="2" s="1"/>
  <c r="I8" i="2"/>
  <c r="J8" i="2" s="1"/>
  <c r="K8" i="2" s="1"/>
  <c r="J7" i="2"/>
  <c r="K7" i="2" s="1"/>
  <c r="I7" i="2"/>
  <c r="J6" i="2"/>
  <c r="K6" i="2" s="1"/>
  <c r="I6" i="2"/>
  <c r="I5" i="2"/>
  <c r="J5" i="2" s="1"/>
  <c r="K5" i="2" s="1"/>
  <c r="D39" i="2" s="1"/>
  <c r="K4" i="2"/>
  <c r="I4" i="2"/>
  <c r="K3" i="2"/>
  <c r="I30" i="2" s="1"/>
  <c r="I3" i="2"/>
  <c r="I27" i="2" l="1"/>
  <c r="D26" i="2"/>
  <c r="D17" i="2"/>
  <c r="I29" i="2"/>
  <c r="I31" i="2" s="1"/>
  <c r="I28" i="2" l="1"/>
  <c r="I33" i="2" s="1"/>
  <c r="I42" i="2"/>
  <c r="T3" i="2" s="1"/>
  <c r="D2" i="1" s="1"/>
  <c r="E33" i="2"/>
  <c r="D33" i="2"/>
  <c r="I32" i="2" l="1"/>
  <c r="I34" i="2" s="1"/>
  <c r="D34" i="2"/>
  <c r="D37" i="2" s="1"/>
  <c r="D38" i="2" s="1"/>
  <c r="D40" i="2" s="1"/>
  <c r="Q6" i="2" s="1"/>
  <c r="E2" i="1" s="1"/>
  <c r="E34" i="2"/>
  <c r="I35" i="2" l="1"/>
  <c r="I36" i="2" s="1"/>
  <c r="I37" i="2" s="1"/>
  <c r="I38" i="2" s="1"/>
  <c r="I39" i="2" s="1"/>
  <c r="I40" i="2" l="1"/>
  <c r="R3" i="2" s="1"/>
  <c r="B2" i="1" s="1"/>
  <c r="Q3" i="2"/>
  <c r="A2" i="1" s="1"/>
  <c r="I41" i="2" l="1"/>
  <c r="I43" i="2"/>
  <c r="S3" i="2" s="1"/>
  <c r="C2" i="1" s="1"/>
</calcChain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<sst xmlns="http://schemas.openxmlformats.org/spreadsheetml/2006/main" count="109" uniqueCount="87">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</sst>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0_ "/>
    <numFmt numFmtId="177" formatCode="0.00_);[Red]\(0.00\)"/>
  </numFmts>
  <fonts count="7">
    <font>
      <sz val="11"/>
      <color theme="1"/>
      <name val="Calibri"/>
      <scheme val="minor"/>
    </font>
    <font>
      <sz val="11"/>
      <color theme="1"/>
      <name val="PMingLiu"/>
      <family val="1"/>
      <charset val="136"/>
    </font>
    <font>
      <sz val="11"/>
      <color theme="1"/>
      <name val="Calibri"/>
      <scheme val="minor"/>
    </font>
    <font>
      <b/>
      <i/>
      <u/>
      <sz val="11"/>
      <color theme="1"/>
      <name val="PMingLiu"/>
      <family val="1"/>
      <charset val="136"/>
    </font>
    <font>
      <b/>
      <sz val="11"/>
      <color theme="1"/>
      <name val="PMingLiu"/>
      <family val="1"/>
      <charset val="136"/>
    </font>
    <font>
      <sz val="11"/>
      <name val="Calibri"/>
    </font>
    <font>
      <sz val="9"/>
      <name val="Calibri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176" fontId="1" fillId="0" borderId="2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176" fontId="1" fillId="0" borderId="6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7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4" fillId="0" borderId="0" xfId="0" applyFont="1" applyAlignment="1">
      <alignment horizontal="center"/>
    </xf>
    <xf numFmtId="0" fontId="5" fillId="0" borderId="7" xfId="0" applyFont="1" applyBorder="1"/>
    <xf numFmtId="0" fontId="3" fillId="0" borderId="0" xfId="0" applyFont="1" applyAlignment="1">
      <alignment horizontal="center"/>
    </xf>
  </cellXfs>
  <cellStyles count="1">
    <cellStyle name="一般" xfId="0" builtinId="0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alculat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6383000" y="0"/>
          <a:ext cx="4181475" cy="4886325"/>
          <a:chOff x="3255263" y="1336838"/>
          <a:chExt cx="4181475" cy="488632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100-000006000000}"/>
                  </a:ext>
                </a:extLst>
              </xdr:cNvPr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w="28575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100-000007000000}"/>
                  </a:ext>
                </a:extLst>
              </xdr:cNvPr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100-000008000000}"/>
                  </a:ext>
                </a:extLst>
              </xdr:cNvPr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 macro="" textlink="">
            <xdr:nvSpPr>
              <xdr:cNvPr id="9" name="Shape 9">
                <a:extLst>
                  <a:ext uri="{FF2B5EF4-FFF2-40B4-BE49-F238E27FC236}">
                    <a16:creationId xmlns:a16="http://schemas.microsoft.com/office/drawing/2014/main" id="{00000000-0008-0000-0100-000009000000}"/>
                  </a:ext>
                </a:extLst>
              </xdr:cNvPr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100-00000A000000}"/>
                  </a:ext>
                </a:extLst>
              </xdr:cNvPr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100-00000B000000}"/>
                  </a:ext>
                </a:extLst>
              </xdr:cNvPr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 macro="">
            <xdr:nvCxn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100-00000C000000}"/>
                  </a:ext>
                </a:extLst>
              </xdr:cNvPr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cxnSp macro="">
            <xdr:nvCxn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100-00000D000000}"/>
                  </a:ext>
                </a:extLst>
              </xdr:cNvPr>
              <xdr:cNvCxnSpPr>
                <a:endCxn id="6" idx="0"/>
              </xdr:cNvCxnSpPr>
            </xdr:nvCxnSpPr>
            <xdr:spPr>
              <a:xfrm rot="10800000" flipH="1">
                <a:off x="14963705" y="2520254"/>
                <a:ext cx="600" cy="127920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100-00000E000000}"/>
                  </a:ext>
                </a:extLst>
              </xdr:cNvPr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15" name="Shape 15">
                <a:extLst>
                  <a:ext uri="{FF2B5EF4-FFF2-40B4-BE49-F238E27FC236}">
                    <a16:creationId xmlns:a16="http://schemas.microsoft.com/office/drawing/2014/main" id="{00000000-0008-0000-0100-00000F000000}"/>
                  </a:ext>
                </a:extLst>
              </xdr:cNvPr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 macro="" textlink="">
          <xdr:nvSpPr>
            <xdr:cNvPr id="16" name="Shape 16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w="28575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7" name="Shape 17">
              <a:extLst>
                <a:ext uri="{FF2B5EF4-FFF2-40B4-BE49-F238E27FC236}">
                  <a16:creationId xmlns:a16="http://schemas.microsoft.com/office/drawing/2014/main" id="{00000000-0008-0000-0100-000011000000}"/>
                </a:ext>
              </a:extLst>
            </xdr:cNvPr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 macro="" textlink="">
          <xdr:nvSpPr>
            <xdr:cNvPr id="18" name="Shape 18">
              <a:extLst>
                <a:ext uri="{FF2B5EF4-FFF2-40B4-BE49-F238E27FC236}">
                  <a16:creationId xmlns:a16="http://schemas.microsoft.com/office/drawing/2014/main" id="{00000000-0008-0000-0100-000012000000}"/>
                </a:ext>
              </a:extLst>
            </xdr:cNvPr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 macro="" textlink="">
          <xdr:nvSpPr>
            <xdr:cNvPr id="19" name="Shape 19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0" name="Shape 20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1" name="Shape 21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 macro="">
          <xdr:nvCxnSpPr>
            <xdr:cNvPr id="22" name="Shape 22">
              <a:extLst>
                <a:ext uri="{FF2B5EF4-FFF2-40B4-BE49-F238E27FC236}">
                  <a16:creationId xmlns:a16="http://schemas.microsoft.com/office/drawing/2014/main" id="{00000000-0008-0000-0100-000016000000}"/>
                </a:ext>
              </a:extLst>
            </xdr:cNvPr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23" name="Shape 23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CxnSpPr>
              <a:endCxn id="16" idx="0"/>
            </xdr:cNvCxnSpPr>
          </xdr:nvCxnSpPr>
          <xdr:spPr>
            <a:xfrm rot="10800000" flipH="1">
              <a:off x="17310650" y="2123273"/>
              <a:ext cx="600" cy="6639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sp macro="" textlink="">
          <xdr:nvSpPr>
            <xdr:cNvPr id="24" name="Shape 24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25" name="Shape 25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id="26" name="image1.gif" descr="Applied Mechanics of Solids (A.F. Bower) Chapter 3: Constitutive laws - 3.2  Linear Elasticity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20</xdr:row>
      <xdr:rowOff>0</xdr:rowOff>
    </xdr:from>
    <xdr:ext cx="4695825" cy="2266950"/>
    <xdr:pic>
      <xdr:nvPicPr>
        <xdr:cNvPr id="27" name="image2.png" title="圖片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G2:G8">
  <tableColumns count="1">
    <tableColumn id="1" xr3:uid="{00000000-0010-0000-0000-000001000000}" name="Rebar"/>
  </tableColumns>
  <tableStyleInfo name="Calcu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>
      <c r="A2" s="2">
        <f>Calculate!Q3</f>
        <v>35.84221302610284</v>
      </c>
      <c r="B2" s="2">
        <f>Calculate!R3</f>
        <v>3.9873622160879066E-3</v>
      </c>
      <c r="C2" s="2">
        <f>Calculate!S3</f>
        <v>15.371267853997052</v>
      </c>
      <c r="D2" s="2">
        <f>Calculate!T3</f>
        <v>2.3803392467250793E-2</v>
      </c>
      <c r="E2" s="2">
        <f>Calculate!Q6</f>
        <v>112277.52009741444</v>
      </c>
      <c r="F2" s="2">
        <f>Calculate!R6</f>
        <v>256767404.47338721</v>
      </c>
    </row>
    <row r="3" spans="1:6" ht="15.75" customHeight="1"/>
    <row r="4" spans="1:6" ht="15.75" customHeight="1"/>
    <row r="5" spans="1:6" ht="15.75" customHeight="1"/>
    <row r="6" spans="1:6" ht="15.75" customHeight="1"/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abSelected="1" workbookViewId="0">
      <selection activeCell="L16" sqref="L16:N19"/>
    </sheetView>
  </sheetViews>
  <sheetFormatPr defaultColWidth="14.42578125" defaultRowHeight="15" customHeight="1"/>
  <cols>
    <col min="1" max="2" width="9.140625" customWidth="1"/>
    <col min="3" max="3" width="13.5703125" customWidth="1"/>
    <col min="4" max="4" width="15.85546875" customWidth="1"/>
    <col min="5" max="6" width="9.140625" customWidth="1"/>
    <col min="7" max="7" width="11.140625" customWidth="1"/>
    <col min="8" max="8" width="11.42578125" customWidth="1"/>
    <col min="9" max="9" width="14.42578125" customWidth="1"/>
    <col min="10" max="10" width="14.140625" customWidth="1"/>
    <col min="11" max="11" width="13" customWidth="1"/>
    <col min="12" max="12" width="4.7109375" customWidth="1"/>
    <col min="13" max="13" width="8.5703125" customWidth="1"/>
    <col min="14" max="14" width="9.28515625" customWidth="1"/>
    <col min="15" max="17" width="9.140625" customWidth="1"/>
    <col min="18" max="18" width="12.28515625" customWidth="1"/>
    <col min="19" max="20" width="9.140625" customWidth="1"/>
    <col min="21" max="32" width="8.7109375" customWidth="1"/>
  </cols>
  <sheetData>
    <row r="1" spans="1:32" ht="15.75" customHeight="1">
      <c r="A1" s="3"/>
      <c r="B1" s="18" t="s">
        <v>6</v>
      </c>
      <c r="C1" s="15"/>
      <c r="D1" s="1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customHeight="1">
      <c r="A2" s="3"/>
      <c r="B2" s="3"/>
      <c r="C2" s="3"/>
      <c r="D2" s="3"/>
      <c r="E2" s="3"/>
      <c r="F2" s="3"/>
      <c r="G2" s="4" t="s">
        <v>7</v>
      </c>
      <c r="H2" s="5"/>
      <c r="I2" s="5" t="s">
        <v>8</v>
      </c>
      <c r="J2" s="5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15.75" customHeight="1">
      <c r="A3" s="3"/>
      <c r="B3" s="16" t="s">
        <v>11</v>
      </c>
      <c r="C3" s="15"/>
      <c r="D3" s="15"/>
      <c r="E3" s="3"/>
      <c r="F3" s="3"/>
      <c r="G3" s="6" t="s">
        <v>12</v>
      </c>
      <c r="H3" s="5" t="s">
        <v>13</v>
      </c>
      <c r="I3" s="5">
        <f>3/8</f>
        <v>0.375</v>
      </c>
      <c r="J3" s="7">
        <v>6</v>
      </c>
      <c r="K3" s="1">
        <f t="shared" ref="K3:K8" si="0">PI()*J3^2/4</f>
        <v>28.274333882308138</v>
      </c>
      <c r="L3" s="3"/>
      <c r="M3" s="3"/>
      <c r="N3" s="3"/>
      <c r="O3" s="3"/>
      <c r="P3" s="3"/>
      <c r="Q3" s="1">
        <f>I39</f>
        <v>35.84221302610284</v>
      </c>
      <c r="R3" s="1">
        <f>I40</f>
        <v>3.9873622160879066E-3</v>
      </c>
      <c r="S3" s="1">
        <f>I43</f>
        <v>15.371267853997052</v>
      </c>
      <c r="T3" s="1">
        <f>I42</f>
        <v>2.3803392467250793E-2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ht="15.75" customHeight="1">
      <c r="A4" s="3"/>
      <c r="B4" s="14" t="s">
        <v>14</v>
      </c>
      <c r="C4" s="15"/>
      <c r="D4" s="8">
        <v>200</v>
      </c>
      <c r="E4" s="3"/>
      <c r="F4" s="3"/>
      <c r="G4" s="6" t="s">
        <v>15</v>
      </c>
      <c r="H4" s="5" t="s">
        <v>16</v>
      </c>
      <c r="I4" s="5">
        <f>4/8</f>
        <v>0.5</v>
      </c>
      <c r="J4" s="7">
        <v>13</v>
      </c>
      <c r="K4" s="1">
        <f t="shared" si="0"/>
        <v>132.73228961416876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5.75" customHeight="1">
      <c r="A5" s="3"/>
      <c r="B5" s="14" t="s">
        <v>17</v>
      </c>
      <c r="C5" s="15"/>
      <c r="D5" s="8">
        <v>200</v>
      </c>
      <c r="E5" s="3"/>
      <c r="F5" s="3"/>
      <c r="G5" s="6" t="s">
        <v>18</v>
      </c>
      <c r="H5" s="5" t="s">
        <v>19</v>
      </c>
      <c r="I5" s="5">
        <f>5/8</f>
        <v>0.625</v>
      </c>
      <c r="J5" s="5">
        <f t="shared" ref="J5:J8" si="1">I5*25.4</f>
        <v>15.875</v>
      </c>
      <c r="K5" s="1">
        <f t="shared" si="0"/>
        <v>197.93260902246004</v>
      </c>
      <c r="L5" s="3"/>
      <c r="M5" s="3"/>
      <c r="N5" s="3"/>
      <c r="O5" s="3"/>
      <c r="P5" s="3"/>
      <c r="Q5" s="1" t="s">
        <v>4</v>
      </c>
      <c r="R5" s="1" t="s">
        <v>5</v>
      </c>
      <c r="S5" s="9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15.75" customHeight="1">
      <c r="A6" s="3"/>
      <c r="B6" s="14" t="s">
        <v>20</v>
      </c>
      <c r="C6" s="15"/>
      <c r="D6" s="8">
        <v>12.5</v>
      </c>
      <c r="E6" s="3"/>
      <c r="F6" s="3"/>
      <c r="G6" s="6" t="s">
        <v>21</v>
      </c>
      <c r="H6" s="5" t="s">
        <v>22</v>
      </c>
      <c r="I6" s="5">
        <f>6/8</f>
        <v>0.75</v>
      </c>
      <c r="J6" s="5">
        <f t="shared" si="1"/>
        <v>19.049999999999997</v>
      </c>
      <c r="K6" s="1">
        <f t="shared" si="0"/>
        <v>285.02295699234242</v>
      </c>
      <c r="L6" s="3"/>
      <c r="M6" s="3"/>
      <c r="N6" s="3"/>
      <c r="O6" s="3"/>
      <c r="P6" s="3"/>
      <c r="Q6" s="1">
        <f>D40</f>
        <v>112277.52009741444</v>
      </c>
      <c r="R6" s="1">
        <f>D41</f>
        <v>256767404.47338721</v>
      </c>
      <c r="S6" s="9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15.75" customHeight="1">
      <c r="A7" s="3"/>
      <c r="B7" s="14" t="s">
        <v>23</v>
      </c>
      <c r="C7" s="15"/>
      <c r="D7" s="8">
        <v>12.5</v>
      </c>
      <c r="E7" s="3"/>
      <c r="F7" s="3"/>
      <c r="G7" s="6" t="s">
        <v>24</v>
      </c>
      <c r="H7" s="5" t="s">
        <v>25</v>
      </c>
      <c r="I7" s="5">
        <f>7/8</f>
        <v>0.875</v>
      </c>
      <c r="J7" s="5">
        <f t="shared" si="1"/>
        <v>22.224999999999998</v>
      </c>
      <c r="K7" s="1">
        <f t="shared" si="0"/>
        <v>387.94791368402161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15.75" customHeight="1">
      <c r="A8" s="3"/>
      <c r="E8" s="3"/>
      <c r="F8" s="3"/>
      <c r="G8" s="10" t="s">
        <v>26</v>
      </c>
      <c r="H8" s="5" t="s">
        <v>27</v>
      </c>
      <c r="I8" s="5">
        <f>8/8</f>
        <v>1</v>
      </c>
      <c r="J8" s="5">
        <f t="shared" si="1"/>
        <v>25.4</v>
      </c>
      <c r="K8" s="1">
        <f t="shared" si="0"/>
        <v>506.7074790974977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15.75" customHeight="1">
      <c r="A9" s="3"/>
      <c r="B9" s="16" t="s">
        <v>28</v>
      </c>
      <c r="C9" s="15"/>
      <c r="D9" s="15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15.75" customHeight="1">
      <c r="A10" s="3"/>
      <c r="B10" s="14" t="s">
        <v>29</v>
      </c>
      <c r="C10" s="17"/>
      <c r="D10" s="8">
        <v>50</v>
      </c>
      <c r="E10" s="3"/>
      <c r="F10" s="3"/>
      <c r="G10" s="14" t="s">
        <v>30</v>
      </c>
      <c r="H10" s="15"/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14" t="s">
        <v>33</v>
      </c>
      <c r="R10" s="15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ht="15.75" customHeight="1">
      <c r="B11" s="14" t="s">
        <v>34</v>
      </c>
      <c r="C11" s="17"/>
      <c r="D11" s="8" t="s">
        <v>12</v>
      </c>
      <c r="E11" s="3"/>
      <c r="F11" s="3"/>
      <c r="G11" s="3"/>
      <c r="H11" s="3"/>
      <c r="I11" s="8">
        <v>2</v>
      </c>
      <c r="J11" s="11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ht="15.75" customHeight="1">
      <c r="A12" s="3"/>
      <c r="B12" s="14" t="s">
        <v>39</v>
      </c>
      <c r="C12" s="17"/>
      <c r="D12" s="8">
        <v>316</v>
      </c>
      <c r="E12" s="3"/>
      <c r="F12" s="3"/>
      <c r="G12" s="3"/>
      <c r="H12" s="3"/>
      <c r="I12" s="11"/>
      <c r="J12" s="11" t="s">
        <v>15</v>
      </c>
      <c r="K12" s="3"/>
      <c r="L12" s="8">
        <v>150</v>
      </c>
      <c r="M12" s="12">
        <f t="shared" ref="M12:M19" si="2">L12-VLOOKUP($D$22, $G$3:$K$8, 4, FALSE)</f>
        <v>137</v>
      </c>
      <c r="N12" s="3">
        <f t="shared" ref="N12:N19" si="3">M12^2</f>
        <v>18769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ht="15.75" customHeight="1">
      <c r="A13" s="3"/>
      <c r="B13" s="14" t="s">
        <v>41</v>
      </c>
      <c r="C13" s="17"/>
      <c r="D13" s="8">
        <v>1</v>
      </c>
      <c r="E13" s="3"/>
      <c r="F13" s="3"/>
      <c r="G13" s="3"/>
      <c r="H13" s="3"/>
      <c r="I13" s="11"/>
      <c r="J13" s="11" t="s">
        <v>18</v>
      </c>
      <c r="K13" s="3"/>
      <c r="L13" s="8">
        <v>150</v>
      </c>
      <c r="M13" s="12">
        <f t="shared" si="2"/>
        <v>137</v>
      </c>
      <c r="N13" s="3">
        <f t="shared" si="3"/>
        <v>18769</v>
      </c>
      <c r="O13" s="3"/>
      <c r="P13" s="3"/>
      <c r="Q13" s="3" t="s">
        <v>42</v>
      </c>
      <c r="R13" s="3">
        <v>6.8947590867753696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ht="15.75" customHeight="1">
      <c r="A14" s="3"/>
      <c r="B14" s="14" t="s">
        <v>43</v>
      </c>
      <c r="C14" s="15"/>
      <c r="D14" s="3">
        <f>D10-D13*VLOOKUP(D11,G3:K8,4,FALSE)</f>
        <v>44</v>
      </c>
      <c r="E14" s="3"/>
      <c r="F14" s="3"/>
      <c r="G14" s="3"/>
      <c r="H14" s="3"/>
      <c r="K14" s="3"/>
      <c r="L14" s="8">
        <v>150</v>
      </c>
      <c r="M14" s="12">
        <f t="shared" si="2"/>
        <v>137</v>
      </c>
      <c r="N14" s="3">
        <f t="shared" si="3"/>
        <v>18769</v>
      </c>
      <c r="O14" s="3"/>
      <c r="P14" s="3"/>
      <c r="Q14" s="3" t="s">
        <v>44</v>
      </c>
      <c r="R14" s="3">
        <v>6.8947573000000002E-3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ht="15.75" customHeight="1">
      <c r="A15" s="3"/>
      <c r="B15" s="14" t="s">
        <v>45</v>
      </c>
      <c r="C15" s="15"/>
      <c r="D15" s="13">
        <f>D4-2*D7-VLOOKUP(D11, G3:K8, 4,FALSE )</f>
        <v>169</v>
      </c>
      <c r="E15" s="3"/>
      <c r="F15" s="3"/>
      <c r="G15" s="14" t="s">
        <v>46</v>
      </c>
      <c r="H15" s="15"/>
      <c r="I15" s="3" t="s">
        <v>31</v>
      </c>
      <c r="J15" s="3" t="s">
        <v>32</v>
      </c>
      <c r="K15" s="3"/>
      <c r="L15" s="8">
        <v>150</v>
      </c>
      <c r="M15" s="12">
        <f t="shared" si="2"/>
        <v>137</v>
      </c>
      <c r="N15" s="3">
        <f t="shared" si="3"/>
        <v>18769</v>
      </c>
      <c r="O15" s="3"/>
      <c r="P15" s="3"/>
      <c r="Q15" s="3" t="s">
        <v>47</v>
      </c>
      <c r="R15" s="3">
        <v>9.8070000000000004E-2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ht="15.75" customHeight="1">
      <c r="A16" s="3"/>
      <c r="B16" s="14" t="s">
        <v>48</v>
      </c>
      <c r="C16" s="15"/>
      <c r="D16" s="13">
        <f>D5-2*D6-VLOOKUP(D11, G3:K8, 4,FALSE )</f>
        <v>169</v>
      </c>
      <c r="E16" s="3"/>
      <c r="F16" s="3"/>
      <c r="G16" s="3"/>
      <c r="H16" s="3"/>
      <c r="I16" s="8">
        <v>2</v>
      </c>
      <c r="J16" s="11" t="s">
        <v>12</v>
      </c>
      <c r="K16" s="3"/>
      <c r="L16" s="8"/>
      <c r="M16" s="12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ht="15.75" customHeight="1">
      <c r="A17" s="3"/>
      <c r="B17" s="14" t="s">
        <v>49</v>
      </c>
      <c r="C17" s="15"/>
      <c r="D17" s="3">
        <f>D13*VLOOKUP(D11,G3:K8,5,FALSE)</f>
        <v>28.274333882308138</v>
      </c>
      <c r="E17" s="3"/>
      <c r="F17" s="3"/>
      <c r="G17" s="3"/>
      <c r="H17" s="3"/>
      <c r="I17" s="11"/>
      <c r="J17" s="11" t="s">
        <v>15</v>
      </c>
      <c r="K17" s="3"/>
      <c r="L17" s="8"/>
      <c r="M17" s="12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ht="15.75" customHeight="1">
      <c r="A18" s="3"/>
      <c r="B18" s="14" t="s">
        <v>50</v>
      </c>
      <c r="C18" s="15"/>
      <c r="D18" s="3">
        <f>D15*D16</f>
        <v>28561</v>
      </c>
      <c r="E18" s="3"/>
      <c r="F18" s="3"/>
      <c r="G18" s="3"/>
      <c r="H18" s="3"/>
      <c r="I18" s="11"/>
      <c r="J18" s="11" t="s">
        <v>18</v>
      </c>
      <c r="K18" s="3"/>
      <c r="L18" s="8"/>
      <c r="M18" s="12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8"/>
      <c r="M19" s="12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ht="15.75" customHeight="1">
      <c r="A20" s="3"/>
      <c r="B20" s="3"/>
      <c r="C20" s="3"/>
      <c r="D20" s="3"/>
      <c r="E20" s="3"/>
      <c r="F20" s="3"/>
      <c r="G20" s="16" t="s">
        <v>51</v>
      </c>
      <c r="H20" s="15"/>
      <c r="I20" s="15"/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ht="15.75" customHeight="1">
      <c r="A21" s="3"/>
      <c r="B21" s="16" t="s">
        <v>52</v>
      </c>
      <c r="C21" s="15"/>
      <c r="D21" s="15"/>
      <c r="E21" s="3"/>
      <c r="F21" s="3"/>
      <c r="G21" s="14" t="s">
        <v>53</v>
      </c>
      <c r="H21" s="15"/>
      <c r="I21" s="8">
        <v>29.9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ht="15.75" customHeight="1">
      <c r="A22" s="3"/>
      <c r="B22" s="14" t="s">
        <v>54</v>
      </c>
      <c r="C22" s="17"/>
      <c r="D22" s="8" t="s">
        <v>15</v>
      </c>
      <c r="E22" s="3"/>
      <c r="F22" s="3"/>
      <c r="G22" s="14" t="s">
        <v>55</v>
      </c>
      <c r="H22" s="15"/>
      <c r="I22" s="3">
        <v>2E-3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ht="15.75" customHeight="1">
      <c r="A23" s="3"/>
      <c r="B23" s="14" t="s">
        <v>56</v>
      </c>
      <c r="C23" s="15"/>
      <c r="D23" s="8">
        <v>8</v>
      </c>
      <c r="E23" s="3"/>
      <c r="F23" s="3"/>
      <c r="G23" s="14" t="s">
        <v>57</v>
      </c>
      <c r="H23" s="15"/>
      <c r="I23" s="3">
        <v>5.0000000000000001E-3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ht="15.75" customHeight="1">
      <c r="A24" s="3"/>
      <c r="B24" s="14" t="s">
        <v>58</v>
      </c>
      <c r="C24" s="17"/>
      <c r="D24" s="8">
        <v>370</v>
      </c>
      <c r="E24" s="3"/>
      <c r="F24" s="3"/>
      <c r="G24" s="14" t="s">
        <v>59</v>
      </c>
      <c r="H24" s="15"/>
      <c r="I24" s="3">
        <f>15000*SQRT(I21*100/9.8)*0.8*9.8/100</f>
        <v>20541.392357870973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ht="15.75" customHeight="1">
      <c r="A25" s="3"/>
      <c r="B25" s="14" t="s">
        <v>60</v>
      </c>
      <c r="C25" s="15"/>
      <c r="D25" s="3">
        <f>D23*VLOOKUP(D22, G3:K8, 5,FALSE  )</f>
        <v>1061.8583169133501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ht="15.75" customHeight="1">
      <c r="A26" s="3"/>
      <c r="B26" s="14" t="s">
        <v>61</v>
      </c>
      <c r="C26" s="15"/>
      <c r="D26" s="3">
        <f>D25/D18</f>
        <v>3.7178611285086309E-2</v>
      </c>
      <c r="E26" s="3"/>
      <c r="F26" s="3"/>
      <c r="G26" s="16" t="s">
        <v>62</v>
      </c>
      <c r="H26" s="15"/>
      <c r="I26" s="15"/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ht="15.75" customHeight="1">
      <c r="A27" s="3"/>
      <c r="B27" s="14" t="s">
        <v>63</v>
      </c>
      <c r="C27" s="15"/>
      <c r="D27" s="3">
        <f>D25/D4/D5</f>
        <v>2.6546457922833753E-2</v>
      </c>
      <c r="E27" s="3"/>
      <c r="F27" s="3"/>
      <c r="G27" s="14" t="s">
        <v>64</v>
      </c>
      <c r="H27" s="15"/>
      <c r="I27" s="3">
        <f>(D18-SUM(N:N)/6)*(1-D14/2/D16)*(1-D14/2/D15)</f>
        <v>12142.027064878681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ht="15.75" customHeight="1">
      <c r="A28" s="3"/>
      <c r="B28" s="3"/>
      <c r="C28" s="3"/>
      <c r="D28" s="3"/>
      <c r="E28" s="3"/>
      <c r="F28" s="3"/>
      <c r="G28" s="14" t="s">
        <v>65</v>
      </c>
      <c r="H28" s="15"/>
      <c r="I28" s="3">
        <f>I27/(1-D26)/D18</f>
        <v>0.44154203810465242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ht="15.75" customHeight="1">
      <c r="A29" s="3"/>
      <c r="B29" s="3"/>
      <c r="C29" s="3"/>
      <c r="D29" s="3"/>
      <c r="E29" s="3"/>
      <c r="F29" s="3"/>
      <c r="G29" s="14" t="s">
        <v>66</v>
      </c>
      <c r="H29" s="15"/>
      <c r="I29" s="3">
        <f>(I11*VLOOKUP(J11, G3:K8, 5, FALSE) + I12*VLOOKUP(J12, G3:K8, 5, FALSE) + I13*VLOOKUP(J13, G3:K8, 5, FALSE))/D16/D10</f>
        <v>6.6921500313155361E-3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ht="15.75" customHeight="1">
      <c r="A30" s="3"/>
      <c r="B30" s="3" t="s">
        <v>67</v>
      </c>
      <c r="C30" s="3">
        <v>0.2</v>
      </c>
      <c r="D30" s="3"/>
      <c r="E30" s="3"/>
      <c r="F30" s="3"/>
      <c r="G30" s="14" t="s">
        <v>68</v>
      </c>
      <c r="H30" s="15"/>
      <c r="I30" s="3">
        <f>(I16*VLOOKUP(J16, G3:K8, 5, FALSE) + I17*VLOOKUP(J17, G3:K8, 5, FALSE)+ I18*VLOOKUP(J18, G3:K8, 5, FALSE))/D15/D10</f>
        <v>6.6921500313155361E-3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ht="15.75" customHeight="1">
      <c r="A31" s="3"/>
      <c r="B31" s="16" t="s">
        <v>69</v>
      </c>
      <c r="C31" s="15"/>
      <c r="D31" s="15"/>
      <c r="E31" s="3"/>
      <c r="F31" s="3"/>
      <c r="G31" s="14" t="s">
        <v>70</v>
      </c>
      <c r="H31" s="15"/>
      <c r="I31" s="3">
        <f>I29+I30</f>
        <v>1.3384300062631072E-2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ht="15.75" customHeight="1">
      <c r="A32" s="3"/>
      <c r="B32" s="14" t="s">
        <v>71</v>
      </c>
      <c r="C32" s="15"/>
      <c r="D32" s="3">
        <f>I24/(2*(1+C30))</f>
        <v>8558.9134824462399</v>
      </c>
      <c r="E32" s="3"/>
      <c r="F32" s="3"/>
      <c r="G32" s="14" t="s">
        <v>72</v>
      </c>
      <c r="H32" s="15"/>
      <c r="I32" s="3">
        <f>I28*I29*$D$12</f>
        <v>0.93373751826481943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ht="15.75" customHeight="1">
      <c r="A33" s="3"/>
      <c r="B33" s="14" t="s">
        <v>73</v>
      </c>
      <c r="C33" s="15"/>
      <c r="D33" s="3">
        <f>IF(I31*D12&gt;2.42, 2.42, I31*D12)</f>
        <v>2.42</v>
      </c>
      <c r="E33" s="3">
        <f>D12*I31</f>
        <v>4.2294388197914188</v>
      </c>
      <c r="F33" s="3"/>
      <c r="G33" s="14" t="s">
        <v>74</v>
      </c>
      <c r="H33" s="15"/>
      <c r="I33" s="3">
        <f>I28*I30*D12</f>
        <v>0.93373751826481943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ht="15.75" customHeight="1">
      <c r="A34" s="3"/>
      <c r="B34" s="14" t="s">
        <v>75</v>
      </c>
      <c r="C34" s="15"/>
      <c r="D34" s="3">
        <f>IF(D33/12.5+0.305-0.083*3&lt;0.0025, 0.0025, IF(D33/12.5+0.305-0.083*3&gt;0.25, 0.25, D33/12.5+0.305-0.083*3))</f>
        <v>0.24959999999999999</v>
      </c>
      <c r="E34" s="3">
        <f>D33/12.5+0.305-0.083*3</f>
        <v>0.24959999999999999</v>
      </c>
      <c r="F34" s="3"/>
      <c r="G34" s="14" t="s">
        <v>76</v>
      </c>
      <c r="H34" s="15"/>
      <c r="I34" s="3">
        <f>(I32+I33)/2/I21</f>
        <v>3.1228679540629415E-2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ht="15.75" customHeight="1">
      <c r="A35" s="3"/>
      <c r="B35" s="14" t="s">
        <v>77</v>
      </c>
      <c r="C35" s="15"/>
      <c r="D35" s="3">
        <f>0.0867*(D4*D5)*I21/13.8/(D4*D5)</f>
        <v>0.18784999999999999</v>
      </c>
      <c r="E35" s="3"/>
      <c r="F35" s="3"/>
      <c r="G35" s="14" t="s">
        <v>78</v>
      </c>
      <c r="H35" s="15"/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ht="15.75" customHeight="1">
      <c r="A36" s="3"/>
      <c r="B36" s="14" t="s">
        <v>79</v>
      </c>
      <c r="C36" s="15"/>
      <c r="D36" s="3">
        <f>IF(1+D35&gt;1.5, 1.5, 1+D35)</f>
        <v>1.1878500000000001</v>
      </c>
      <c r="E36" s="3">
        <f>1+D35</f>
        <v>1.1878500000000001</v>
      </c>
      <c r="F36" s="3"/>
      <c r="G36" s="14" t="s">
        <v>80</v>
      </c>
      <c r="H36" s="15"/>
      <c r="I36" s="3">
        <f>6.8886-(0.6069+17.275*I35)*EXP(1)^(-4.989*I35)</f>
        <v>6.7667800290351057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ht="15.75" customHeight="1">
      <c r="A37" s="3"/>
      <c r="B37" s="14" t="s">
        <v>81</v>
      </c>
      <c r="C37" s="15"/>
      <c r="D37" s="3">
        <f>IF(D34*D36*SQRT(I21)&gt;0.33*SQRT(I21), 0.33*SQRT(I21), D34*D36*SQRT(I21))</f>
        <v>1.6212193447307215</v>
      </c>
      <c r="E37" s="3"/>
      <c r="F37" s="3"/>
      <c r="G37" s="14" t="s">
        <v>82</v>
      </c>
      <c r="H37" s="15"/>
      <c r="I37" s="3">
        <f>4.5/(5/I36*(0.9849-0.6306*EXP(1)^(-3.989*I35))-0.1)-5</f>
        <v>2.2684066253523465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ht="15.75" customHeight="1">
      <c r="A38" s="3"/>
      <c r="B38" s="14" t="s">
        <v>83</v>
      </c>
      <c r="C38" s="15"/>
      <c r="D38" s="3">
        <f>0.8*D4*D5*D37</f>
        <v>51879.01903138309</v>
      </c>
      <c r="E38" s="3"/>
      <c r="F38" s="3"/>
      <c r="G38" s="14" t="s">
        <v>84</v>
      </c>
      <c r="H38" s="15"/>
      <c r="I38" s="3">
        <f>1+I36*I34*(0.1+0.9/(1+I37*I34))</f>
        <v>1.1987362216087907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ht="15.75" customHeight="1">
      <c r="A39" s="3"/>
      <c r="B39" s="14" t="s">
        <v>85</v>
      </c>
      <c r="C39" s="15"/>
      <c r="D39" s="3">
        <f>(I11*VLOOKUP(J11, G3:K8, 5, FALSE) + I12*VLOOKUP(J12, G3:K8, 5, FALSE) + I13*VLOOKUP(J13, G3:K8, 5, FALSE))*D12*D15/D10</f>
        <v>60398.501066031342</v>
      </c>
      <c r="E39" s="3"/>
      <c r="F39" s="3"/>
      <c r="G39" s="14" t="s">
        <v>0</v>
      </c>
      <c r="H39" s="15"/>
      <c r="I39" s="3">
        <f>I21*I38</f>
        <v>35.84221302610284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ht="15.75" customHeight="1">
      <c r="A40" s="3"/>
      <c r="B40" s="14" t="s">
        <v>4</v>
      </c>
      <c r="C40" s="15"/>
      <c r="D40" s="3">
        <f>D38+D39</f>
        <v>112277.52009741444</v>
      </c>
      <c r="E40" s="3"/>
      <c r="F40" s="3"/>
      <c r="G40" s="14" t="s">
        <v>1</v>
      </c>
      <c r="H40" s="15"/>
      <c r="I40" s="3">
        <f>I22*(1+5*(I39/I21-1))</f>
        <v>3.9873622160879066E-3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ht="15.75" customHeight="1">
      <c r="A41" s="3"/>
      <c r="B41" s="14" t="s">
        <v>5</v>
      </c>
      <c r="C41" s="15"/>
      <c r="D41" s="3">
        <f>3/4*D32*D4*D5</f>
        <v>256767404.47338721</v>
      </c>
      <c r="E41" s="3"/>
      <c r="F41" s="3"/>
      <c r="G41" s="14" t="s">
        <v>86</v>
      </c>
      <c r="H41" s="15"/>
      <c r="I41" s="3">
        <f>I24/(I24-I39/I40)</f>
        <v>1.7781000512382912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ht="15.75" customHeight="1">
      <c r="A42" s="3"/>
      <c r="B42" s="3"/>
      <c r="C42" s="3"/>
      <c r="D42" s="3"/>
      <c r="E42" s="3"/>
      <c r="F42" s="3"/>
      <c r="G42" s="14" t="s">
        <v>3</v>
      </c>
      <c r="H42" s="15"/>
      <c r="I42" s="3">
        <f>0.004+0.14*D12/I21*I31</f>
        <v>2.3803392467250793E-2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ht="15.75" customHeight="1">
      <c r="A43" s="3"/>
      <c r="B43" s="3"/>
      <c r="C43" s="3"/>
      <c r="D43" s="3"/>
      <c r="E43" s="3"/>
      <c r="F43" s="3"/>
      <c r="G43" s="14" t="s">
        <v>2</v>
      </c>
      <c r="H43" s="15"/>
      <c r="I43" s="3">
        <f>I39*I42/I40*I41/(I41-1+POWER(I42/I40, I41))</f>
        <v>15.371267853997052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1:32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1:32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1:32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spans="1:3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spans="1:32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1:32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1:32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spans="1:32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spans="1:32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spans="1:32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spans="1:32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spans="1:32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spans="1:32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spans="1:3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spans="1:32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spans="1:32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spans="1:32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spans="1:32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spans="1:32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spans="1:32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spans="1:32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spans="1:32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spans="1:32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spans="1: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spans="1:32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spans="1:32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1:32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32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1:32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1:32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1:32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1:32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1:32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1:3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1:32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1:32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1:32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1:32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1:32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1:32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1:32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1:32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1:32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1:3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32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1:32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1:32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1:32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1:32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1:32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1:32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1:32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1:32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1:3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1:32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1:32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1:32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1:32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1:32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1:32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1:32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1:32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1:32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1:3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1:32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1:32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1:32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1:32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1:32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1:32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1:32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1:32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1:32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1:3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1:32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1:32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1:32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1:32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1:32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1:32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1:32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1:32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1:3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1:32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1:32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1:32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1:32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1:32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1:32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1:32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1:32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1:3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1:32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1:32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1:32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1:32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1:32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1:32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1:32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1:32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1:32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1:3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1:32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1:32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1:32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1:32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1:32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1:32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1:32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1:32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1:32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1:3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1:32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1:32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1:32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1:32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1:32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1:32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1:32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1:32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1: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1:32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1:32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1:32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1:32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1:32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1:32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1:32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1:32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1:32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1:3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1:32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1:32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1:32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1:32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1:32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1:32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1:32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1:32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1:32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1:3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1:32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1:32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1:32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1:32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1:32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1:32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1:32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1:32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1:32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1:3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1:32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1:32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1:32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1:32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1:32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1:32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1:32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1:32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1:32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1:3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1:32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1:32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1:32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1:32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:32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1:32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1:32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1:32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1:32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1:3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1:32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:32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1:32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1:32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1:32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1:32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1:32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1:32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1:32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1:3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1:32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1:32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1:32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1:32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1:32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1:32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1:32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1:32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1:32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1:3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1:32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1:32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1:32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1:32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1:32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1:32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1:32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1:32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1:32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1:3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1:32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1:32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1:32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1:32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1:32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1:32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1:32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1:32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1:32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1:3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1:32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1:32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1:32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1:32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1:32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1:32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1:32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1:32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1:32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1: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1:32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1:32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1:32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1:32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1:32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1:32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1:32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1:32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1:32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1:3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1:32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1:32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1:32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1:32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1:32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1:32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1:32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1:32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1:32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1:3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1:32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1:32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1:32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:32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:32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1:32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1:32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1:32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1:32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1:3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1:32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1:32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1:32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1:32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1:32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1:32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1:3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1:32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1:32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1:32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1:32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1:32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1:32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1:32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1:32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1:32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1:3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1:32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1:32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1:32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1:32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1:32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1:32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1:32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1:32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1:32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1:3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1:32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1:32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1:32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1:32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1:32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1:32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1:32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1:32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1:32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1:3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1:32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1:32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1:32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1:32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1:32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1:32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1:32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1:32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1:32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1:3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1:32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1:32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1:32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1:32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1:32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1:32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1:32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1:32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1:32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1:3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1:32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1:32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1:32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1:32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1:32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1:32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1:32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1:32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1:32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1: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1:32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1:32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1:32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1:32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1:32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1:32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1:32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1:32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1:32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1:3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1:32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1:32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1:32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1:32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1:32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1:32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1:32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1:32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1:32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1:3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1:32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1:32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1:32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1:32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1:32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1:32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1:32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1:32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1:32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1:3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1:32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1:32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1:32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1:32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1:32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spans="1:32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spans="1:32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spans="1:32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spans="1:32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1:3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1:32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spans="1:32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spans="1:32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spans="1:32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1:32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1:32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1:32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1:32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1:32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spans="1:3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spans="1:32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spans="1:32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1:32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spans="1:32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1:32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spans="1:32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spans="1:32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spans="1:32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spans="1:32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spans="1:3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spans="1:32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spans="1:32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spans="1:32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spans="1:32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spans="1:32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spans="1:32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spans="1:32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spans="1:32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spans="1:32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spans="1:3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spans="1:32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spans="1:32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spans="1:32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spans="1:32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spans="1:32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spans="1:32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spans="1:32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spans="1:32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spans="1:32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spans="1:3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spans="1:32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spans="1:32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spans="1:32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spans="1:32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spans="1:32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spans="1:32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spans="1:32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spans="1:32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spans="1:32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spans="1:3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spans="1:32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spans="1:32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spans="1:32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spans="1:32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spans="1:32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spans="1:32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spans="1:32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spans="1:32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spans="1:32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spans="1: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spans="1:32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spans="1:32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spans="1:32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spans="1:32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spans="1:32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spans="1:32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spans="1:32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spans="1:32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spans="1:32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spans="1:3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spans="1:32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spans="1:32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spans="1:32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spans="1:32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spans="1:32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spans="1:32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spans="1:32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spans="1:32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spans="1:32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spans="1:3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spans="1:32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spans="1:32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spans="1:32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spans="1:32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spans="1:32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spans="1:32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spans="1:32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spans="1:32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spans="1:32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spans="1:3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spans="1:32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spans="1:32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spans="1:32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spans="1:32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spans="1:32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spans="1:32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spans="1:32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spans="1:32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spans="1:32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spans="1:3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spans="1:32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spans="1:32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spans="1:32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spans="1:32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spans="1:32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spans="1:32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spans="1:32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spans="1:32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spans="1:32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spans="1:3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spans="1:32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spans="1:32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spans="1:32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spans="1:32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spans="1:32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spans="1:32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spans="1:32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spans="1:32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spans="1:32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spans="1:3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spans="1:32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spans="1:32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spans="1:32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spans="1:32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spans="1:32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spans="1:32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spans="1:32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spans="1:32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spans="1:32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spans="1:3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spans="1:32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spans="1:32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spans="1:32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spans="1:32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spans="1:32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spans="1:32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spans="1:32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spans="1:32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spans="1:32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spans="1:3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spans="1:32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spans="1:32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spans="1:32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spans="1:32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spans="1:32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spans="1:32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spans="1:32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spans="1:32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spans="1:32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spans="1:3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spans="1:32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spans="1:32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spans="1:32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spans="1:32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spans="1:32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spans="1:32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spans="1:32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spans="1:32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spans="1:32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spans="1: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spans="1:32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spans="1:32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spans="1:32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spans="1:32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spans="1:32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spans="1:32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spans="1:32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spans="1:32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spans="1:32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spans="1:3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spans="1:32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spans="1:32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spans="1:32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spans="1:32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spans="1:32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spans="1:32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spans="1:32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spans="1:32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spans="1:32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spans="1:3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spans="1:32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spans="1:32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spans="1:32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spans="1:32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spans="1:32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spans="1:32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spans="1:32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spans="1:32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spans="1:32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spans="1:3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spans="1:32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spans="1:32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spans="1:32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spans="1:32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spans="1:32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spans="1:32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spans="1:32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spans="1:32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spans="1:32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spans="1:3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spans="1:32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spans="1:32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spans="1:32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spans="1:32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spans="1:32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spans="1:32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spans="1:32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spans="1:32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spans="1:32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spans="1:3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spans="1:32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spans="1:32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spans="1:32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spans="1:32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spans="1:32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spans="1:32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spans="1:32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spans="1:32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spans="1:32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spans="1:3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spans="1:32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spans="1:32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spans="1:32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spans="1:32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spans="1:32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spans="1:32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spans="1:32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spans="1:32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spans="1:32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spans="1:3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spans="1:32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spans="1:32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spans="1:32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spans="1:32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spans="1:32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spans="1:32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spans="1:32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spans="1:32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spans="1:32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spans="1:3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spans="1:32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spans="1:32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spans="1:32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spans="1:32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spans="1:32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spans="1:32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spans="1:32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spans="1:32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spans="1:32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spans="1:3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spans="1:32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spans="1:32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spans="1:32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spans="1:32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spans="1:32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spans="1:32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spans="1:32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spans="1:32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spans="1:32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spans="1: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spans="1:32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spans="1:32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spans="1:32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spans="1:32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spans="1:32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spans="1:32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spans="1:32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spans="1:32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spans="1:32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spans="1:3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spans="1:32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spans="1:32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spans="1:32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spans="1:32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spans="1:32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spans="1:32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spans="1:32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spans="1:32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spans="1:32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spans="1:3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spans="1:32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spans="1:32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spans="1:32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spans="1:32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spans="1:32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spans="1:32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spans="1:32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spans="1:32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spans="1:32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spans="1:3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spans="1:32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spans="1:32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spans="1:32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spans="1:32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spans="1:32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spans="1:32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spans="1:32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spans="1:32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spans="1:32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spans="1:3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spans="1:32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spans="1:32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spans="1:32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spans="1:32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spans="1:32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spans="1:32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spans="1:32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spans="1:32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spans="1:32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spans="1:3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spans="1:32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spans="1:32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spans="1:32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spans="1:32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spans="1:32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spans="1:32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spans="1:32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spans="1:32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spans="1:32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spans="1:3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spans="1:32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spans="1:32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spans="1:32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spans="1:32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spans="1:32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spans="1:32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spans="1:32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spans="1:32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spans="1:32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spans="1:3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spans="1:32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spans="1:32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spans="1:32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spans="1:32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spans="1:32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spans="1:32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spans="1:32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spans="1:32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spans="1:32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spans="1:3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spans="1:32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spans="1:32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spans="1:32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spans="1:32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spans="1:32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spans="1:32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spans="1:32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spans="1:32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spans="1:32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spans="1:3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spans="1:32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spans="1:32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spans="1:32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spans="1:32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spans="1:32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spans="1:32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spans="1:32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spans="1:32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spans="1:32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spans="1: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spans="1:32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spans="1:32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spans="1:32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spans="1:32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spans="1:32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spans="1:32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spans="1:32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spans="1:32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spans="1:32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spans="1:3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spans="1:32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spans="1:32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spans="1:32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spans="1:32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spans="1:32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spans="1:32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spans="1:32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spans="1:32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spans="1:32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spans="1:3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spans="1:32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spans="1:32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spans="1:32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spans="1:32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spans="1:32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spans="1:32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spans="1:32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spans="1:32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spans="1:32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spans="1:3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spans="1:32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spans="1:32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spans="1:32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spans="1:32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spans="1:32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spans="1:32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spans="1:32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spans="1:32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spans="1:32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spans="1:3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spans="1:32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spans="1:32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spans="1:32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spans="1:32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spans="1:32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spans="1:32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spans="1:32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spans="1:32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spans="1:32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spans="1:3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spans="1:32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spans="1:32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spans="1:32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spans="1:32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spans="1:32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spans="1:32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spans="1:32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spans="1:32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spans="1:32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spans="1:3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spans="1:32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spans="1:32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spans="1:32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spans="1:32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spans="1:32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spans="1:32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spans="1:32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spans="1:32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B27:C27"/>
    <mergeCell ref="G27:H27"/>
    <mergeCell ref="B34:C34"/>
    <mergeCell ref="G34:H34"/>
    <mergeCell ref="B24:C24"/>
    <mergeCell ref="G24:H24"/>
    <mergeCell ref="B25:C25"/>
    <mergeCell ref="B26:C26"/>
    <mergeCell ref="G26:I26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11:C11"/>
    <mergeCell ref="B12:C12"/>
    <mergeCell ref="B13:C13"/>
    <mergeCell ref="B14:C14"/>
    <mergeCell ref="B15:C15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39:C39"/>
    <mergeCell ref="B40:C40"/>
    <mergeCell ref="B41:C41"/>
    <mergeCell ref="G39:H39"/>
    <mergeCell ref="G40:H40"/>
    <mergeCell ref="G41:H41"/>
    <mergeCell ref="B31:D31"/>
    <mergeCell ref="G31:H31"/>
    <mergeCell ref="B32:C32"/>
    <mergeCell ref="B33:C33"/>
    <mergeCell ref="B38:C38"/>
    <mergeCell ref="G32:H32"/>
    <mergeCell ref="G33:H33"/>
    <mergeCell ref="G28:H28"/>
    <mergeCell ref="G29:H29"/>
    <mergeCell ref="G30:H30"/>
  </mergeCells>
  <phoneticPr fontId="6" type="noConversion"/>
  <dataValidations count="1">
    <dataValidation type="list" allowBlank="1" showInputMessage="1" showErrorMessage="1" prompt="Rebar Type" sqref="D11 J11:J13 J16:J18 D22" xr:uid="{00000000-0002-0000-0100-000000000000}">
      <formula1>$G$3:$G$8</formula1>
    </dataValidation>
  </dataValidations>
  <pageMargins left="0.7" right="0.7" top="0.75" bottom="0.75" header="0" footer="0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record</vt:lpstr>
      <vt:lpstr>Calculate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Tingyan Wu</dc:creator>
  <cp:lastModifiedBy>Tingyan</cp:lastModifiedBy>
  <dcterms:created xsi:type="dcterms:W3CDTF">2015-06-05T18:19:34Z</dcterms:created>
  <dcterms:modified xsi:type="dcterms:W3CDTF">2024-05-16T11:01:27Z</dcterms:modified>
</cp:coreProperties>
</file>