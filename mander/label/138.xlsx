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96468A4D-C409-453F-B62A-0E8A3E6A9A3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1GhCtQOSveBFthr7qZ3fKwcJ0Y0/Ogm2b7tZbcjtIi8="/>
    </ext>
  </extLst>
</workbook>
</file>

<file path=xl/calcChain.xml><?xml version="1.0" encoding="utf-8"?>
<calcChain xmlns="http://schemas.openxmlformats.org/spreadsheetml/2006/main">
  <c r="L13" i="2" l="1"/>
  <c r="M13" i="2" s="1"/>
  <c r="N13" i="2" s="1"/>
  <c r="L14" i="2"/>
  <c r="M14" i="2" s="1"/>
  <c r="N14" i="2" s="1"/>
  <c r="L15" i="2"/>
  <c r="M15" i="2" s="1"/>
  <c r="N15" i="2" s="1"/>
  <c r="L12" i="2"/>
  <c r="E36" i="2"/>
  <c r="D36" i="2"/>
  <c r="D35" i="2"/>
  <c r="D32" i="2"/>
  <c r="D41" i="2" s="1"/>
  <c r="R6" i="2" s="1"/>
  <c r="F2" i="1" s="1"/>
  <c r="I24" i="2"/>
  <c r="M12" i="2"/>
  <c r="N12" i="2" s="1"/>
  <c r="J8" i="2"/>
  <c r="K8" i="2" s="1"/>
  <c r="D25" i="2" s="1"/>
  <c r="I8" i="2"/>
  <c r="I7" i="2"/>
  <c r="J7" i="2" s="1"/>
  <c r="K7" i="2" s="1"/>
  <c r="I6" i="2"/>
  <c r="J6" i="2" s="1"/>
  <c r="K6" i="2" s="1"/>
  <c r="I5" i="2"/>
  <c r="J5" i="2" s="1"/>
  <c r="K5" i="2" s="1"/>
  <c r="I4" i="2"/>
  <c r="J4" i="2" s="1"/>
  <c r="K4" i="2" s="1"/>
  <c r="I3" i="2"/>
  <c r="J3" i="2" s="1"/>
  <c r="D27" i="2" l="1"/>
  <c r="D16" i="2"/>
  <c r="D15" i="2"/>
  <c r="K3" i="2"/>
  <c r="D17" i="2" s="1"/>
  <c r="D14" i="2"/>
  <c r="D39" i="2" l="1"/>
  <c r="D18" i="2"/>
  <c r="I30" i="2"/>
  <c r="I29" i="2"/>
  <c r="I31" i="2" s="1"/>
  <c r="I42" i="2" l="1"/>
  <c r="T3" i="2" s="1"/>
  <c r="D2" i="1" s="1"/>
  <c r="E33" i="2"/>
  <c r="D33" i="2"/>
  <c r="I27" i="2"/>
  <c r="I28" i="2" s="1"/>
  <c r="D26" i="2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 s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<sst xmlns="http://schemas.openxmlformats.org/spreadsheetml/2006/main" count="109" uniqueCount="87">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</sst>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734175" cy="1838325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33.296331549676275</v>
      </c>
      <c r="B2" s="2">
        <f>Calculate!R3</f>
        <v>2.0593146675759138E-3</v>
      </c>
      <c r="C2" s="2">
        <f>Calculate!S3</f>
        <v>3.6496306263818878</v>
      </c>
      <c r="D2" s="2">
        <f>Calculate!T3</f>
        <v>6.8385429787983527E-3</v>
      </c>
      <c r="E2" s="2">
        <f>Calculate!Q6</f>
        <v>173781.13560059876</v>
      </c>
      <c r="F2" s="2">
        <f>Calculate!R6</f>
        <v>1411792095.2351236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N23" sqref="N23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33.296331549676275</v>
      </c>
      <c r="R3" s="1">
        <f>I40</f>
        <v>2.0593146675759138E-3</v>
      </c>
      <c r="S3" s="1">
        <f>I43</f>
        <v>3.6496306263818878</v>
      </c>
      <c r="T3" s="1">
        <f>I42</f>
        <v>6.8385429787983527E-3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457.2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457.2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38.1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173781.13560059876</v>
      </c>
      <c r="R6" s="1">
        <f>D41</f>
        <v>1411792095.2351236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38.1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457.2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2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399.9</v>
      </c>
      <c r="E12" s="3"/>
      <c r="F12" s="3"/>
      <c r="G12" s="3"/>
      <c r="H12" s="3"/>
      <c r="I12" s="10"/>
      <c r="J12" s="10" t="s">
        <v>15</v>
      </c>
      <c r="K12" s="3"/>
      <c r="L12" s="10">
        <f>25.4*13.25</f>
        <v>336.54999999999995</v>
      </c>
      <c r="M12" s="11">
        <f t="shared" ref="M12:M19" si="2">L12-VLOOKUP($D$22, $G$3:$K$8, 4, FALSE)</f>
        <v>311.14999999999998</v>
      </c>
      <c r="N12" s="3">
        <f t="shared" ref="N12:N19" si="3">M12^2</f>
        <v>96814.32249999998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f t="shared" ref="L13:L15" si="4">25.4*13.25</f>
        <v>336.54999999999995</v>
      </c>
      <c r="M13" s="11">
        <f t="shared" si="2"/>
        <v>311.14999999999998</v>
      </c>
      <c r="N13" s="3">
        <f t="shared" si="3"/>
        <v>96814.32249999998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447.67500000000001</v>
      </c>
      <c r="E14" s="3"/>
      <c r="F14" s="3"/>
      <c r="G14" s="3"/>
      <c r="H14" s="3"/>
      <c r="K14" s="3"/>
      <c r="L14" s="10">
        <f t="shared" si="4"/>
        <v>336.54999999999995</v>
      </c>
      <c r="M14" s="11">
        <f t="shared" si="2"/>
        <v>311.14999999999998</v>
      </c>
      <c r="N14" s="3">
        <f t="shared" si="3"/>
        <v>96814.32249999998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371.47500000000002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f t="shared" si="4"/>
        <v>336.54999999999995</v>
      </c>
      <c r="M15" s="11">
        <f t="shared" si="2"/>
        <v>311.14999999999998</v>
      </c>
      <c r="N15" s="3">
        <f t="shared" si="3"/>
        <v>96814.32249999998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371.47500000000002</v>
      </c>
      <c r="E16" s="3"/>
      <c r="F16" s="3"/>
      <c r="G16" s="3"/>
      <c r="H16" s="3"/>
      <c r="I16" s="7">
        <v>2</v>
      </c>
      <c r="J16" s="10" t="s">
        <v>12</v>
      </c>
      <c r="K16" s="3"/>
      <c r="L16" s="10"/>
      <c r="M16" s="1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137993.675625</v>
      </c>
      <c r="E18" s="3"/>
      <c r="F18" s="3"/>
      <c r="G18" s="3"/>
      <c r="H18" s="3"/>
      <c r="I18" s="10"/>
      <c r="J18" s="10" t="s">
        <v>18</v>
      </c>
      <c r="K18" s="3"/>
      <c r="L18" s="10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33.1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26</v>
      </c>
      <c r="E22" s="3"/>
      <c r="F22" s="3"/>
      <c r="G22" s="13" t="s">
        <v>55</v>
      </c>
      <c r="H22" s="14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331</v>
      </c>
      <c r="E24" s="3"/>
      <c r="F24" s="3"/>
      <c r="G24" s="13" t="s">
        <v>59</v>
      </c>
      <c r="H24" s="14"/>
      <c r="I24" s="3">
        <f>15000*SQRT(I21*100/9.8)*0.8*9.8/100</f>
        <v>21612.662954851257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4053.6598327799816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2.9375692867228687E-2</v>
      </c>
      <c r="E26" s="3"/>
      <c r="F26" s="3"/>
      <c r="G26" s="15" t="s">
        <v>62</v>
      </c>
      <c r="H26" s="14"/>
      <c r="I26" s="14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1.9392547244381438E-2</v>
      </c>
      <c r="E27" s="3"/>
      <c r="F27" s="3"/>
      <c r="G27" s="13" t="s">
        <v>64</v>
      </c>
      <c r="H27" s="14"/>
      <c r="I27" s="3">
        <f>(D18-SUM(N:N)/6)*(1-D14/2/D16)*(1-D14/2/D15)</f>
        <v>11601.941649237073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8.6620429157146461E-2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8.3910060192035054E-4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8.3910060192035054E-4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1.6782012038407011E-3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9005.2762311880251</v>
      </c>
      <c r="E32" s="3"/>
      <c r="F32" s="3"/>
      <c r="G32" s="13" t="s">
        <v>72</v>
      </c>
      <c r="H32" s="14"/>
      <c r="I32" s="3">
        <f>I28*I29*$D$12</f>
        <v>2.9066033372319836E-2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0.67111266141589632</v>
      </c>
      <c r="E33" s="3">
        <f>D12*I31</f>
        <v>0.67111266141589632</v>
      </c>
      <c r="F33" s="3"/>
      <c r="G33" s="13" t="s">
        <v>74</v>
      </c>
      <c r="H33" s="14"/>
      <c r="I33" s="3">
        <f>I28*I30*D12</f>
        <v>2.9066033372319836E-2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0.10968901291327171</v>
      </c>
      <c r="E34" s="3">
        <f>D33/12.5+0.305-0.083*3</f>
        <v>0.10968901291327171</v>
      </c>
      <c r="F34" s="3"/>
      <c r="G34" s="13" t="s">
        <v>76</v>
      </c>
      <c r="H34" s="14"/>
      <c r="I34" s="3">
        <f>(I32+I33)/2/I21</f>
        <v>8.7812789644470799E-4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0.20795434782608693</v>
      </c>
      <c r="E35" s="3"/>
      <c r="F35" s="3"/>
      <c r="G35" s="13" t="s">
        <v>78</v>
      </c>
      <c r="H35" s="14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1.207954347826087</v>
      </c>
      <c r="E36" s="3">
        <f>1+D35</f>
        <v>1.207954347826087</v>
      </c>
      <c r="F36" s="3"/>
      <c r="G36" s="13" t="s">
        <v>80</v>
      </c>
      <c r="H36" s="14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0.76230303088617346</v>
      </c>
      <c r="E37" s="3"/>
      <c r="F37" s="3"/>
      <c r="G37" s="13" t="s">
        <v>82</v>
      </c>
      <c r="H37" s="14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127476.48414697092</v>
      </c>
      <c r="E38" s="3"/>
      <c r="F38" s="3"/>
      <c r="G38" s="13" t="s">
        <v>84</v>
      </c>
      <c r="H38" s="14"/>
      <c r="I38" s="3">
        <f>1+I36*I34*(0.1+0.9/(1+I37*I34))</f>
        <v>1.0059314667575914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46304.651453627834</v>
      </c>
      <c r="E39" s="3"/>
      <c r="F39" s="3"/>
      <c r="G39" s="13" t="s">
        <v>0</v>
      </c>
      <c r="H39" s="14"/>
      <c r="I39" s="3">
        <f>I21*I38</f>
        <v>33.296331549676275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173781.13560059876</v>
      </c>
      <c r="E40" s="3"/>
      <c r="F40" s="3"/>
      <c r="G40" s="13" t="s">
        <v>1</v>
      </c>
      <c r="H40" s="14"/>
      <c r="I40" s="3">
        <f>I22*(1+5*(I39/I21-1))</f>
        <v>2.0593146675759138E-3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1411792095.2351236</v>
      </c>
      <c r="E41" s="3"/>
      <c r="F41" s="3"/>
      <c r="G41" s="13" t="s">
        <v>86</v>
      </c>
      <c r="H41" s="14"/>
      <c r="I41" s="3">
        <f>I24/(I24-I39/I40)</f>
        <v>3.969985102248196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6.8385429787983527E-3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3.6496306263818878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2024-05-16T11:39:24Z</dcterms:modified>
</cp:coreProperties>
</file>