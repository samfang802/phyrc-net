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kK/6n6xZkMeIvbwXvlRV5UbZ8pPJNj5lt0aBzPEqpKQ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<sst xmlns="http://schemas.openxmlformats.org/spreadsheetml/2006/main" count="109" uniqueCount="86">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</sst>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2705100" cy="24479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183.4228221</v>
      </c>
      <c r="B2" s="2">
        <f>Calculate!R3</f>
        <v>0.007839621946</v>
      </c>
      <c r="C2" s="2">
        <f>Calculate!S3</f>
        <v>46.34634943</v>
      </c>
      <c r="D2" s="2">
        <f>Calculate!T3</f>
        <v>0.03917311153</v>
      </c>
      <c r="E2" s="2">
        <f>Calculate!Q6</f>
        <v>564231.8865</v>
      </c>
      <c r="F2" s="2">
        <f>Calculate!R6</f>
        <v>505310795.5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6/25.4</f>
        <v>0.2362204724</v>
      </c>
      <c r="J3" s="9">
        <v>6.0</v>
      </c>
      <c r="K3" s="1">
        <f t="shared" ref="K3:K8" si="1">PI()*J3^2/4</f>
        <v>28.27433388</v>
      </c>
      <c r="L3" s="3"/>
      <c r="M3" s="3"/>
      <c r="N3" s="3"/>
      <c r="O3" s="3"/>
      <c r="P3" s="3"/>
      <c r="Q3" s="1">
        <f>I39</f>
        <v>183.4228221</v>
      </c>
      <c r="R3" s="1">
        <f>I40</f>
        <v>0.007839621946</v>
      </c>
      <c r="S3" s="1">
        <f>I43</f>
        <v>46.34634943</v>
      </c>
      <c r="T3" s="1">
        <f>I42</f>
        <v>0.03917311153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9.0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564231.8865</v>
      </c>
      <c r="R6" s="1">
        <f>D41</f>
        <v>505310795.5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9.0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35.0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792.3</v>
      </c>
      <c r="E12" s="3"/>
      <c r="F12" s="3"/>
      <c r="G12" s="3"/>
      <c r="H12" s="3"/>
      <c r="I12" s="15"/>
      <c r="J12" s="15" t="s">
        <v>14</v>
      </c>
      <c r="K12" s="3"/>
      <c r="L12" s="10">
        <v>53.0</v>
      </c>
      <c r="M12" s="16">
        <f t="shared" ref="M12:M23" si="3">L12-VLOOKUP($D$22, $G$3:$K$8, 4, FALSE)</f>
        <v>40.3</v>
      </c>
      <c r="N12" s="3">
        <f t="shared" ref="N12:N23" si="4">M12^2</f>
        <v>1624.09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0">
        <v>48.0</v>
      </c>
      <c r="M13" s="16">
        <f t="shared" si="3"/>
        <v>35.3</v>
      </c>
      <c r="N13" s="3">
        <f t="shared" si="4"/>
        <v>1246.09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23</v>
      </c>
      <c r="E14" s="3"/>
      <c r="F14" s="3"/>
      <c r="G14" s="3"/>
      <c r="H14" s="3"/>
      <c r="K14" s="3"/>
      <c r="L14" s="10">
        <v>53.0</v>
      </c>
      <c r="M14" s="16">
        <f t="shared" si="3"/>
        <v>40.3</v>
      </c>
      <c r="N14" s="3">
        <f t="shared" si="4"/>
        <v>1624.09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176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0">
        <v>53.0</v>
      </c>
      <c r="M15" s="16">
        <f t="shared" si="3"/>
        <v>40.3</v>
      </c>
      <c r="N15" s="3">
        <f t="shared" si="4"/>
        <v>1624.09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176</v>
      </c>
      <c r="E16" s="3"/>
      <c r="F16" s="3"/>
      <c r="G16" s="3"/>
      <c r="H16" s="3"/>
      <c r="I16" s="10">
        <v>4.0</v>
      </c>
      <c r="J16" s="10" t="s">
        <v>12</v>
      </c>
      <c r="K16" s="3"/>
      <c r="L16" s="10">
        <v>48.0</v>
      </c>
      <c r="M16" s="16">
        <f t="shared" si="3"/>
        <v>35.3</v>
      </c>
      <c r="N16" s="3">
        <f t="shared" si="4"/>
        <v>1246.09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56.54866776</v>
      </c>
      <c r="E17" s="3"/>
      <c r="F17" s="3"/>
      <c r="G17" s="3"/>
      <c r="H17" s="3"/>
      <c r="I17" s="15"/>
      <c r="J17" s="15" t="s">
        <v>14</v>
      </c>
      <c r="K17" s="3"/>
      <c r="L17" s="10">
        <v>53.0</v>
      </c>
      <c r="M17" s="16">
        <f t="shared" si="3"/>
        <v>40.3</v>
      </c>
      <c r="N17" s="3">
        <f t="shared" si="4"/>
        <v>1624.09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30976</v>
      </c>
      <c r="E18" s="3"/>
      <c r="F18" s="3"/>
      <c r="G18" s="3"/>
      <c r="H18" s="3"/>
      <c r="I18" s="15"/>
      <c r="J18" s="15" t="s">
        <v>17</v>
      </c>
      <c r="K18" s="3"/>
      <c r="L18" s="10">
        <v>53.0</v>
      </c>
      <c r="M18" s="16">
        <f t="shared" si="3"/>
        <v>40.3</v>
      </c>
      <c r="N18" s="3">
        <f t="shared" si="4"/>
        <v>1624.09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48.0</v>
      </c>
      <c r="M19" s="16">
        <f t="shared" si="3"/>
        <v>35.3</v>
      </c>
      <c r="N19" s="3">
        <f t="shared" si="4"/>
        <v>1246.09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0">
        <v>53.0</v>
      </c>
      <c r="M20" s="16">
        <f t="shared" si="3"/>
        <v>40.3</v>
      </c>
      <c r="N20" s="3">
        <f t="shared" si="4"/>
        <v>1624.09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115.8</v>
      </c>
      <c r="J21" s="3"/>
      <c r="K21" s="3"/>
      <c r="L21" s="10">
        <v>53.0</v>
      </c>
      <c r="M21" s="16">
        <f t="shared" si="3"/>
        <v>40.3</v>
      </c>
      <c r="N21" s="3">
        <f t="shared" si="4"/>
        <v>1624.09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14</v>
      </c>
      <c r="E22" s="3"/>
      <c r="F22" s="3"/>
      <c r="G22" s="3" t="s">
        <v>54</v>
      </c>
      <c r="I22" s="3">
        <v>0.002</v>
      </c>
      <c r="J22" s="3"/>
      <c r="K22" s="3"/>
      <c r="L22" s="10">
        <v>48.0</v>
      </c>
      <c r="M22" s="16">
        <f t="shared" si="3"/>
        <v>35.3</v>
      </c>
      <c r="N22" s="3">
        <f t="shared" si="4"/>
        <v>1246.09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10">
        <v>53.0</v>
      </c>
      <c r="M23" s="16">
        <f t="shared" si="3"/>
        <v>40.3</v>
      </c>
      <c r="N23" s="3">
        <f t="shared" si="4"/>
        <v>1624.09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399.6</v>
      </c>
      <c r="E24" s="3"/>
      <c r="F24" s="3"/>
      <c r="G24" s="3" t="s">
        <v>58</v>
      </c>
      <c r="I24" s="3">
        <f>15000*SQRT(I21*100/9.8)*0.8*9.8/100</f>
        <v>40424.86364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1520.122437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0.04907420058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0.03800306093</v>
      </c>
      <c r="E27" s="3"/>
      <c r="F27" s="3"/>
      <c r="G27" s="3" t="s">
        <v>63</v>
      </c>
      <c r="I27" s="3">
        <f>(D18-SUM(N:N)/6)*(1-D14/2/D16)*(1-D14/2/D15)</f>
        <v>24442.82426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0.8298114427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0.01835995707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0.01835995707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0.03671991413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16843.69318</v>
      </c>
      <c r="E32" s="3"/>
      <c r="F32" s="3"/>
      <c r="G32" s="3" t="s">
        <v>71</v>
      </c>
      <c r="I32" s="3">
        <f>I28*I29*$D$12</f>
        <v>12.07093014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29.09318797</v>
      </c>
      <c r="F33" s="3"/>
      <c r="G33" s="3" t="s">
        <v>73</v>
      </c>
      <c r="I33" s="3">
        <f>I28*I30*D12</f>
        <v>12.07093014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0.1042394658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0.727526087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1.727526087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3.551143478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113636.5913</v>
      </c>
      <c r="E38" s="3"/>
      <c r="F38" s="3"/>
      <c r="G38" s="3" t="s">
        <v>83</v>
      </c>
      <c r="I38" s="3">
        <f>1+I36*I34*(0.1+0.9/(1+I37*I34))</f>
        <v>1.583962195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450595.2952</v>
      </c>
      <c r="E39" s="3"/>
      <c r="F39" s="3"/>
      <c r="G39" s="3" t="s">
        <v>0</v>
      </c>
      <c r="I39" s="3">
        <f>I21*I38</f>
        <v>183.4228221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564231.8865</v>
      </c>
      <c r="E40" s="3"/>
      <c r="F40" s="3"/>
      <c r="G40" s="3" t="s">
        <v>1</v>
      </c>
      <c r="I40" s="3">
        <f>I22*(1+5*(I39/I21-1))</f>
        <v>0.007839621946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505310795.5</v>
      </c>
      <c r="E41" s="3"/>
      <c r="F41" s="3"/>
      <c r="G41" s="3" t="s">
        <v>85</v>
      </c>
      <c r="I41" s="3">
        <f>I24/(I24-I39/I40)</f>
        <v>2.374027561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0.03917311153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46.34634943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