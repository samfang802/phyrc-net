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2yGf5I+swoD20r7u9MzFBmgnpHe3e8bChmz2vevdILw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<sst xmlns="http://schemas.openxmlformats.org/spreadsheetml/2006/main" count="109" uniqueCount="87">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</sst>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5619750" cy="63627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27.74708687</v>
      </c>
      <c r="B2" s="2">
        <f>Calculate!R3</f>
        <v>0.002631067767</v>
      </c>
      <c r="C2" s="2">
        <f>Calculate!S3</f>
        <v>3.639053637</v>
      </c>
      <c r="D2" s="2">
        <f>Calculate!T3</f>
        <v>0.02659304461</v>
      </c>
      <c r="E2" s="2">
        <f>Calculate!Q6</f>
        <v>117423.8229</v>
      </c>
      <c r="F2" s="2">
        <f>Calculate!R6</f>
        <v>278040452.4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13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27.74708687</v>
      </c>
      <c r="R3" s="1">
        <f>I40</f>
        <v>0.002631067767</v>
      </c>
      <c r="S3" s="1">
        <f>I43</f>
        <v>3.639053637</v>
      </c>
      <c r="T3" s="1">
        <f>I42</f>
        <v>0.02659304461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305.0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152.0</v>
      </c>
      <c r="E5" s="3"/>
      <c r="F5" s="3"/>
      <c r="G5" s="11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35.0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117423.8229</v>
      </c>
      <c r="R6" s="1">
        <f>D41</f>
        <v>278040452.4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22.3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89.0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345.0</v>
      </c>
      <c r="E12" s="3"/>
      <c r="F12" s="3"/>
      <c r="G12" s="3"/>
      <c r="H12" s="3"/>
      <c r="I12" s="15"/>
      <c r="J12" s="15" t="s">
        <v>15</v>
      </c>
      <c r="K12" s="3"/>
      <c r="L12" s="15">
        <f>3*25.4</f>
        <v>76.2</v>
      </c>
      <c r="M12" s="16">
        <f t="shared" ref="M12:M15" si="3">L12-VLOOKUP($D$22, $G$3:$K$8, 4, FALSE)</f>
        <v>57.15</v>
      </c>
      <c r="N12" s="3">
        <f t="shared" ref="N12:N15" si="4">M12^2</f>
        <v>3266.1225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1.0</v>
      </c>
      <c r="E13" s="3"/>
      <c r="F13" s="3"/>
      <c r="G13" s="3"/>
      <c r="H13" s="3"/>
      <c r="I13" s="15"/>
      <c r="J13" s="15" t="s">
        <v>18</v>
      </c>
      <c r="K13" s="3"/>
      <c r="L13" s="15">
        <f>8*25.4</f>
        <v>203.2</v>
      </c>
      <c r="M13" s="16">
        <f t="shared" si="3"/>
        <v>184.15</v>
      </c>
      <c r="N13" s="3">
        <f t="shared" si="4"/>
        <v>33911.2225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82.65</v>
      </c>
      <c r="E14" s="3"/>
      <c r="F14" s="3"/>
      <c r="G14" s="3"/>
      <c r="H14" s="3"/>
      <c r="K14" s="3"/>
      <c r="L14" s="15">
        <f>3*25.4</f>
        <v>76.2</v>
      </c>
      <c r="M14" s="16">
        <f t="shared" si="3"/>
        <v>57.15</v>
      </c>
      <c r="N14" s="3">
        <f t="shared" si="4"/>
        <v>3266.1225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254.05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>8*25.4</f>
        <v>203.2</v>
      </c>
      <c r="M15" s="16">
        <f t="shared" si="3"/>
        <v>184.15</v>
      </c>
      <c r="N15" s="3">
        <f t="shared" si="4"/>
        <v>33911.2225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75.65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31.66921744</v>
      </c>
      <c r="E17" s="3"/>
      <c r="F17" s="3"/>
      <c r="G17" s="3"/>
      <c r="H17" s="3"/>
      <c r="I17" s="15"/>
      <c r="J17" s="1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19218.8825</v>
      </c>
      <c r="E18" s="3"/>
      <c r="F18" s="3"/>
      <c r="G18" s="3"/>
      <c r="H18" s="3"/>
      <c r="I18" s="15"/>
      <c r="J18" s="15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26.1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496.0</v>
      </c>
      <c r="E24" s="3"/>
      <c r="F24" s="3"/>
      <c r="G24" s="3" t="s">
        <v>59</v>
      </c>
      <c r="I24" s="3">
        <f>15000*SQRT(I21*100/9.8)*0.8*9.8/100</f>
        <v>19191.74823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0.05932144223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0.02459214469</v>
      </c>
      <c r="E27" s="3"/>
      <c r="F27" s="3"/>
      <c r="G27" s="3" t="s">
        <v>64</v>
      </c>
      <c r="I27" s="3">
        <f>(D18-SUM(N:N)/6)*(1-D14/2/D16)*(1-D14/2/D15)</f>
        <v>2593.551361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0.1434582328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0.009407373532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0.002801290328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0.01220866386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7996.561761</v>
      </c>
      <c r="E32" s="3"/>
      <c r="F32" s="3"/>
      <c r="G32" s="3" t="s">
        <v>72</v>
      </c>
      <c r="I32" s="3">
        <f>I28*I29*$D$12</f>
        <v>0.4655999879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4.211989032</v>
      </c>
      <c r="F33" s="3"/>
      <c r="G33" s="3" t="s">
        <v>74</v>
      </c>
      <c r="I33" s="3">
        <f>I28*I30*D12</f>
        <v>0.1386445152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0.01157556519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0.163976087</v>
      </c>
      <c r="E35" s="3"/>
      <c r="F35" s="3"/>
      <c r="G35" s="3" t="s">
        <v>78</v>
      </c>
      <c r="I35" s="3">
        <f>MIN(I32, I33)/MAX(I32, I33)</f>
        <v>0.2977760283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1.163976087</v>
      </c>
      <c r="E36" s="3">
        <f>1+D35</f>
        <v>1.163976087</v>
      </c>
      <c r="F36" s="3"/>
      <c r="G36" s="3" t="s">
        <v>80</v>
      </c>
      <c r="I36" s="3">
        <f>6.8886-(0.6069+17.275*I35)*EXP(1)^(-4.989*I35)</f>
        <v>5.586776695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1.484256272</v>
      </c>
      <c r="E37" s="3"/>
      <c r="F37" s="3"/>
      <c r="G37" s="3" t="s">
        <v>82</v>
      </c>
      <c r="I37" s="3">
        <f>4.5/(5/I36*(0.9849-0.6306*EXP(1)^(-3.989*I35))-0.1)-5</f>
        <v>2.384429879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55048.09662</v>
      </c>
      <c r="E38" s="3"/>
      <c r="F38" s="3"/>
      <c r="G38" s="3" t="s">
        <v>84</v>
      </c>
      <c r="I38" s="3">
        <f>1+I36*I34*(0.1+0.9/(1+I37*I34))</f>
        <v>1.063106777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62375.72626</v>
      </c>
      <c r="E39" s="3"/>
      <c r="F39" s="3"/>
      <c r="G39" s="3" t="s">
        <v>0</v>
      </c>
      <c r="I39" s="3">
        <f>I21*I38</f>
        <v>27.74708687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117423.8229</v>
      </c>
      <c r="E40" s="3"/>
      <c r="F40" s="3"/>
      <c r="G40" s="3" t="s">
        <v>1</v>
      </c>
      <c r="I40" s="3">
        <f>I22*(1+5*(I39/I21-1))</f>
        <v>0.002631067767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278040452.4</v>
      </c>
      <c r="E41" s="3"/>
      <c r="F41" s="3"/>
      <c r="G41" s="3" t="s">
        <v>86</v>
      </c>
      <c r="I41" s="3">
        <f>I24/(I24-I39/I40)</f>
        <v>2.219775313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0.02659304461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3.639053637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