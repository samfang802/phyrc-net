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242BFAE1-8B56-4EB4-8DA4-49068C3ADF0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8q1+bMP/8/kxnyJjt5Wl5rF6xJWCTNfdb2p2LVU9K4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32" i="2" s="1"/>
  <c r="D41" i="2" s="1"/>
  <c r="R6" i="2" s="1"/>
  <c r="F2" i="1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I8" i="2"/>
  <c r="J8" i="2" s="1"/>
  <c r="I7" i="2"/>
  <c r="J7" i="2" s="1"/>
  <c r="K7" i="2" s="1"/>
  <c r="K6" i="2"/>
  <c r="J6" i="2"/>
  <c r="I6" i="2"/>
  <c r="I5" i="2"/>
  <c r="J5" i="2" s="1"/>
  <c r="K5" i="2" s="1"/>
  <c r="I4" i="2"/>
  <c r="J4" i="2" s="1"/>
  <c r="K4" i="2" s="1"/>
  <c r="I3" i="2"/>
  <c r="J3" i="2" s="1"/>
  <c r="D14" i="2" l="1"/>
  <c r="D16" i="2"/>
  <c r="K3" i="2"/>
  <c r="D17" i="2" s="1"/>
  <c r="D15" i="2"/>
  <c r="M12" i="2"/>
  <c r="N12" i="2" s="1"/>
  <c r="K8" i="2"/>
  <c r="D25" i="2" s="1"/>
  <c r="M13" i="2"/>
  <c r="N13" i="2" s="1"/>
  <c r="D18" i="2" l="1"/>
  <c r="I27" i="2" s="1"/>
  <c r="I28" i="2" s="1"/>
  <c r="D39" i="2"/>
  <c r="I30" i="2"/>
  <c r="D27" i="2"/>
  <c r="D26" i="2"/>
  <c r="I29" i="2"/>
  <c r="I31" i="2" s="1"/>
  <c r="I42" i="2" l="1"/>
  <c r="T3" i="2" s="1"/>
  <c r="D2" i="1" s="1"/>
  <c r="E33" i="2"/>
  <c r="D33" i="2"/>
  <c r="I33" i="2"/>
  <c r="I32" i="2"/>
  <c r="E34" i="2" l="1"/>
  <c r="D34" i="2"/>
  <c r="D37" i="2" s="1"/>
  <c r="D38" i="2" s="1"/>
  <c r="D40" i="2" s="1"/>
  <c r="Q6" i="2" s="1"/>
  <c r="E2" i="1" s="1"/>
  <c r="I35" i="2"/>
  <c r="I36" i="2" s="1"/>
  <c r="I34" i="2"/>
  <c r="I37" i="2" l="1"/>
  <c r="I38" i="2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<sst xmlns="http://schemas.openxmlformats.org/spreadsheetml/2006/main" count="109" uniqueCount="87">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</sst>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19</xdr:row>
      <xdr:rowOff>133350</xdr:rowOff>
    </xdr:from>
    <xdr:ext cx="9486900" cy="702945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16.727447979767543</v>
      </c>
      <c r="B2" s="2">
        <f>Calculate!R3</f>
        <v>2.4546549873547146E-3</v>
      </c>
      <c r="C2" s="2">
        <f>Calculate!S3</f>
        <v>8.3674662379744404</v>
      </c>
      <c r="D2" s="2">
        <f>Calculate!T3</f>
        <v>1.1003999560798127E-2</v>
      </c>
      <c r="E2" s="2">
        <f>Calculate!Q6</f>
        <v>292991.6722195585</v>
      </c>
      <c r="F2" s="2">
        <f>Calculate!R6</f>
        <v>1963119495.547811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22" sqref="L22:N27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16.727447979767543</v>
      </c>
      <c r="R3" s="1">
        <f>I40</f>
        <v>2.4546549873547146E-3</v>
      </c>
      <c r="S3" s="1">
        <f>I43</f>
        <v>8.3674662379744404</v>
      </c>
      <c r="T3" s="1">
        <f>I42</f>
        <v>1.1003999560798127E-2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914.4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17</v>
      </c>
      <c r="C5" s="16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20</v>
      </c>
      <c r="C6" s="16"/>
      <c r="D6" s="7">
        <v>38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292991.6722195585</v>
      </c>
      <c r="R6" s="1">
        <f>D41</f>
        <v>1963119495.547811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23</v>
      </c>
      <c r="C7" s="16"/>
      <c r="D7" s="7">
        <v>38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28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29</v>
      </c>
      <c r="C10" s="18"/>
      <c r="D10" s="7">
        <v>406.4</v>
      </c>
      <c r="E10" s="3"/>
      <c r="F10" s="3"/>
      <c r="G10" s="15" t="s">
        <v>30</v>
      </c>
      <c r="H10" s="16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5" t="s">
        <v>33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34</v>
      </c>
      <c r="C11" s="18"/>
      <c r="D11" s="7" t="s">
        <v>12</v>
      </c>
      <c r="E11" s="3"/>
      <c r="F11" s="3"/>
      <c r="G11" s="3"/>
      <c r="H11" s="3"/>
      <c r="I11" s="7">
        <v>2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39</v>
      </c>
      <c r="C12" s="18"/>
      <c r="D12" s="7">
        <v>400</v>
      </c>
      <c r="E12" s="3"/>
      <c r="F12" s="3"/>
      <c r="G12" s="3"/>
      <c r="H12" s="3"/>
      <c r="I12" s="10"/>
      <c r="J12" s="10" t="s">
        <v>15</v>
      </c>
      <c r="K12" s="3"/>
      <c r="L12" s="11">
        <v>336.55</v>
      </c>
      <c r="M12" s="12">
        <f t="shared" ref="M12:M27" si="2">L12-VLOOKUP($D$22, $G$3:$K$8, 4, FALSE)</f>
        <v>311.15000000000003</v>
      </c>
      <c r="N12" s="3">
        <f t="shared" ref="N12:N27" si="3">M12^2</f>
        <v>96814.322500000024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41</v>
      </c>
      <c r="C13" s="18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4">
        <v>226.7857143</v>
      </c>
      <c r="M13" s="12">
        <f t="shared" si="2"/>
        <v>201.38571429999999</v>
      </c>
      <c r="N13" s="3">
        <f t="shared" si="3"/>
        <v>40556.205924121219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43</v>
      </c>
      <c r="C14" s="16"/>
      <c r="D14" s="3">
        <f>D10-D13*VLOOKUP(D11,G3:K8,4,FALSE)</f>
        <v>396.875</v>
      </c>
      <c r="E14" s="3"/>
      <c r="F14" s="3"/>
      <c r="G14" s="3"/>
      <c r="H14" s="3"/>
      <c r="K14" s="3"/>
      <c r="L14" s="14">
        <v>226.7857143</v>
      </c>
      <c r="M14" s="12">
        <f t="shared" si="2"/>
        <v>201.38571429999999</v>
      </c>
      <c r="N14" s="3">
        <f t="shared" si="3"/>
        <v>40556.205924121219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45</v>
      </c>
      <c r="C15" s="16"/>
      <c r="D15" s="13">
        <f>D4-2*D7-VLOOKUP(D11, G3:K8, 4,FALSE )</f>
        <v>828.875</v>
      </c>
      <c r="E15" s="3"/>
      <c r="F15" s="3"/>
      <c r="G15" s="15" t="s">
        <v>46</v>
      </c>
      <c r="H15" s="16"/>
      <c r="I15" s="3" t="s">
        <v>31</v>
      </c>
      <c r="J15" s="3" t="s">
        <v>32</v>
      </c>
      <c r="K15" s="3"/>
      <c r="L15" s="14">
        <v>226.7857143</v>
      </c>
      <c r="M15" s="12">
        <f t="shared" si="2"/>
        <v>201.38571429999999</v>
      </c>
      <c r="N15" s="3">
        <f t="shared" si="3"/>
        <v>40556.205924121219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48</v>
      </c>
      <c r="C16" s="16"/>
      <c r="D16" s="13">
        <f>D5-2*D6-VLOOKUP(D11, G3:K8, 4,FALSE )</f>
        <v>371.67500000000001</v>
      </c>
      <c r="E16" s="3"/>
      <c r="F16" s="3"/>
      <c r="G16" s="3"/>
      <c r="H16" s="3"/>
      <c r="I16" s="7">
        <v>5</v>
      </c>
      <c r="J16" s="10" t="s">
        <v>12</v>
      </c>
      <c r="K16" s="3"/>
      <c r="L16" s="14">
        <v>113.3928571</v>
      </c>
      <c r="M16" s="12">
        <f t="shared" si="2"/>
        <v>87.992857100000009</v>
      </c>
      <c r="N16" s="3">
        <f t="shared" si="3"/>
        <v>7742.7429006210223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49</v>
      </c>
      <c r="C17" s="16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4">
        <v>336.55</v>
      </c>
      <c r="M17" s="12">
        <f t="shared" si="2"/>
        <v>311.15000000000003</v>
      </c>
      <c r="N17" s="3">
        <f t="shared" si="3"/>
        <v>96814.322500000024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50</v>
      </c>
      <c r="C18" s="16"/>
      <c r="D18" s="3">
        <f>D15*D16</f>
        <v>308072.11562500003</v>
      </c>
      <c r="E18" s="3"/>
      <c r="F18" s="3"/>
      <c r="G18" s="3"/>
      <c r="H18" s="3"/>
      <c r="I18" s="10"/>
      <c r="J18" s="10" t="s">
        <v>18</v>
      </c>
      <c r="K18" s="3"/>
      <c r="L18" s="14">
        <v>226.7857143</v>
      </c>
      <c r="M18" s="12">
        <f t="shared" si="2"/>
        <v>201.38571429999999</v>
      </c>
      <c r="N18" s="3">
        <f t="shared" si="3"/>
        <v>40556.205924121219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4">
        <v>226.7857143</v>
      </c>
      <c r="M19" s="12">
        <f t="shared" si="2"/>
        <v>201.38571429999999</v>
      </c>
      <c r="N19" s="3">
        <f t="shared" si="3"/>
        <v>40556.205924121219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51</v>
      </c>
      <c r="H20" s="16"/>
      <c r="I20" s="16"/>
      <c r="J20" s="3"/>
      <c r="K20" s="3"/>
      <c r="L20" s="14">
        <v>226.7857143</v>
      </c>
      <c r="M20" s="12">
        <f t="shared" si="2"/>
        <v>201.38571429999999</v>
      </c>
      <c r="N20" s="3">
        <f t="shared" si="3"/>
        <v>40556.205924121219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52</v>
      </c>
      <c r="C21" s="16"/>
      <c r="D21" s="16"/>
      <c r="E21" s="3"/>
      <c r="F21" s="3"/>
      <c r="G21" s="15" t="s">
        <v>53</v>
      </c>
      <c r="H21" s="16"/>
      <c r="I21" s="7">
        <v>16</v>
      </c>
      <c r="J21" s="3"/>
      <c r="K21" s="3"/>
      <c r="L21" s="14">
        <v>113.3928571</v>
      </c>
      <c r="M21" s="12">
        <f t="shared" si="2"/>
        <v>87.992857100000009</v>
      </c>
      <c r="N21" s="3">
        <f t="shared" si="3"/>
        <v>7742.7429006210223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54</v>
      </c>
      <c r="C22" s="18"/>
      <c r="D22" s="7" t="s">
        <v>26</v>
      </c>
      <c r="E22" s="3"/>
      <c r="F22" s="3"/>
      <c r="G22" s="15" t="s">
        <v>55</v>
      </c>
      <c r="H22" s="16"/>
      <c r="I22" s="3">
        <v>2E-3</v>
      </c>
      <c r="J22" s="3"/>
      <c r="K22" s="3"/>
      <c r="L22" s="14"/>
      <c r="M22" s="1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56</v>
      </c>
      <c r="C23" s="16"/>
      <c r="D23" s="7">
        <v>16</v>
      </c>
      <c r="E23" s="3"/>
      <c r="F23" s="3"/>
      <c r="G23" s="15" t="s">
        <v>57</v>
      </c>
      <c r="H23" s="16"/>
      <c r="I23" s="3">
        <v>5.0000000000000001E-3</v>
      </c>
      <c r="J23" s="3"/>
      <c r="K23" s="3"/>
      <c r="L23" s="14"/>
      <c r="M23" s="1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58</v>
      </c>
      <c r="C24" s="18"/>
      <c r="D24" s="7">
        <v>434</v>
      </c>
      <c r="E24" s="3"/>
      <c r="F24" s="3"/>
      <c r="G24" s="15" t="s">
        <v>59</v>
      </c>
      <c r="H24" s="16"/>
      <c r="I24" s="3">
        <f>15000*SQRT(I21*100/9.8)*0.8*9.8/100</f>
        <v>15026.37680879859</v>
      </c>
      <c r="J24" s="3"/>
      <c r="K24" s="3"/>
      <c r="L24" s="14"/>
      <c r="M24" s="1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60</v>
      </c>
      <c r="C25" s="16"/>
      <c r="D25" s="3">
        <f>D23*VLOOKUP(D22, G3:K8, 5,FALSE  )</f>
        <v>8107.3196655599631</v>
      </c>
      <c r="E25" s="3"/>
      <c r="F25" s="3"/>
      <c r="G25" s="3"/>
      <c r="H25" s="3"/>
      <c r="I25" s="3"/>
      <c r="J25" s="3"/>
      <c r="K25" s="3"/>
      <c r="L25" s="14"/>
      <c r="M25" s="1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61</v>
      </c>
      <c r="C26" s="16"/>
      <c r="D26" s="3">
        <f>D25/D18</f>
        <v>2.6316304703891399E-2</v>
      </c>
      <c r="E26" s="3"/>
      <c r="F26" s="3"/>
      <c r="G26" s="17" t="s">
        <v>62</v>
      </c>
      <c r="H26" s="16"/>
      <c r="I26" s="16"/>
      <c r="J26" s="3"/>
      <c r="K26" s="3"/>
      <c r="L26" s="14"/>
      <c r="M26" s="1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63</v>
      </c>
      <c r="C27" s="16"/>
      <c r="D27" s="3">
        <f>D25/D4/D5</f>
        <v>1.9392547244381438E-2</v>
      </c>
      <c r="E27" s="3"/>
      <c r="F27" s="3"/>
      <c r="G27" s="15" t="s">
        <v>64</v>
      </c>
      <c r="H27" s="16"/>
      <c r="I27" s="3">
        <f>(D18-SUM(N:N)/6)*(1-D14/2/D16)*(1-D14/2/D15)</f>
        <v>82482.138778054636</v>
      </c>
      <c r="J27" s="3"/>
      <c r="L27" s="14"/>
      <c r="M27" s="1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65</v>
      </c>
      <c r="H28" s="16"/>
      <c r="I28" s="3">
        <f>I27/(1-D26)/D18</f>
        <v>0.2749727297639537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66</v>
      </c>
      <c r="H29" s="16"/>
      <c r="I29" s="3">
        <f>(I11*VLOOKUP(J11, G3:K8, 5, FALSE) + I12*VLOOKUP(J12, G3:K8, 5, FALSE) + I13*VLOOKUP(J13, G3:K8, 5, FALSE))/D16/D10</f>
        <v>9.4348021284901469E-4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5" t="s">
        <v>68</v>
      </c>
      <c r="H30" s="16"/>
      <c r="I30" s="3">
        <f>(I16*VLOOKUP(J16, G3:K8, 5, FALSE) + I17*VLOOKUP(J17, G3:K8, 5, FALSE)+ I18*VLOOKUP(J18, G3:K8, 5, FALSE))/D15/D10</f>
        <v>1.057662518807593E-3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69</v>
      </c>
      <c r="C31" s="16"/>
      <c r="D31" s="16"/>
      <c r="E31" s="3"/>
      <c r="F31" s="3"/>
      <c r="G31" s="15" t="s">
        <v>70</v>
      </c>
      <c r="H31" s="16"/>
      <c r="I31" s="3">
        <f>I29+I30</f>
        <v>2.0011427316566077E-3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71</v>
      </c>
      <c r="C32" s="16"/>
      <c r="D32" s="3">
        <f>I24/(2*(1+C30))</f>
        <v>6260.9903369994126</v>
      </c>
      <c r="E32" s="3"/>
      <c r="F32" s="3"/>
      <c r="G32" s="15" t="s">
        <v>72</v>
      </c>
      <c r="H32" s="16"/>
      <c r="I32" s="3">
        <f>I28*I29*$D$12</f>
        <v>0.10377253184214787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73</v>
      </c>
      <c r="C33" s="16"/>
      <c r="D33" s="3">
        <f>IF(I31*D12&gt;2.42, 2.42, I31*D12)</f>
        <v>0.80045709266264309</v>
      </c>
      <c r="E33" s="3">
        <f>D12*I31</f>
        <v>0.80045709266264309</v>
      </c>
      <c r="F33" s="3"/>
      <c r="G33" s="15" t="s">
        <v>74</v>
      </c>
      <c r="H33" s="16"/>
      <c r="I33" s="3">
        <f>I28*I30*D12</f>
        <v>0.11633133998621716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75</v>
      </c>
      <c r="C34" s="16"/>
      <c r="D34" s="3">
        <f>IF(D33/12.5+0.305-0.083*3&lt;0.0025, 0.0025, IF(D33/12.5+0.305-0.083*3&gt;0.25, 0.25, D33/12.5+0.305-0.083*3))</f>
        <v>0.12003656741301144</v>
      </c>
      <c r="E34" s="3">
        <f>D33/12.5+0.305-0.083*3</f>
        <v>0.12003656741301144</v>
      </c>
      <c r="F34" s="3"/>
      <c r="G34" s="15" t="s">
        <v>76</v>
      </c>
      <c r="H34" s="16"/>
      <c r="I34" s="3">
        <f>(I32+I33)/2/I21</f>
        <v>6.8782459946364069E-3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77</v>
      </c>
      <c r="C35" s="16"/>
      <c r="D35" s="3">
        <f>0.0867*(D4*D5)*I21/13.8/(D4*D5)</f>
        <v>0.10052173913043476</v>
      </c>
      <c r="E35" s="3"/>
      <c r="F35" s="3"/>
      <c r="G35" s="15" t="s">
        <v>78</v>
      </c>
      <c r="H35" s="16"/>
      <c r="I35" s="3">
        <f>MIN(I32, I33)/MAX(I32, I33)</f>
        <v>0.89204277930988118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79</v>
      </c>
      <c r="C36" s="16"/>
      <c r="D36" s="3">
        <f>IF(1+D35&gt;1.5, 1.5, 1+D35)</f>
        <v>1.1005217391304347</v>
      </c>
      <c r="E36" s="3">
        <f>1+D35</f>
        <v>1.1005217391304347</v>
      </c>
      <c r="F36" s="3"/>
      <c r="G36" s="15" t="s">
        <v>80</v>
      </c>
      <c r="H36" s="16"/>
      <c r="I36" s="3">
        <f>6.8886-(0.6069+17.275*I35)*EXP(1)^(-4.989*I35)</f>
        <v>6.7016201787055518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81</v>
      </c>
      <c r="C37" s="16"/>
      <c r="D37" s="3">
        <f>IF(D34*D36*SQRT(I21)&gt;0.33*SQRT(I21), 0.33*SQRT(I21), D34*D36*SQRT(I21))</f>
        <v>0.52841140771446005</v>
      </c>
      <c r="E37" s="3"/>
      <c r="F37" s="3"/>
      <c r="G37" s="15" t="s">
        <v>82</v>
      </c>
      <c r="H37" s="16"/>
      <c r="I37" s="3">
        <f>4.5/(5/I36*(0.9849-0.6306*EXP(1)^(-3.989*I35))-0.1)-5</f>
        <v>2.241475264291708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83</v>
      </c>
      <c r="C38" s="16"/>
      <c r="D38" s="3">
        <f>0.8*D4*D5*D37</f>
        <v>176727.69413047002</v>
      </c>
      <c r="E38" s="3"/>
      <c r="F38" s="3"/>
      <c r="G38" s="15" t="s">
        <v>84</v>
      </c>
      <c r="H38" s="16"/>
      <c r="I38" s="3">
        <f>1+I36*I34*(0.1+0.9/(1+I37*I34))</f>
        <v>1.0454654987354715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85</v>
      </c>
      <c r="C39" s="16"/>
      <c r="D39" s="3">
        <f>(I11*VLOOKUP(J11, G3:K8, 5, FALSE) + I12*VLOOKUP(J12, G3:K8, 5, FALSE) + I13*VLOOKUP(J13, G3:K8, 5, FALSE))*D12*D15/D10</f>
        <v>116263.9780890885</v>
      </c>
      <c r="E39" s="3"/>
      <c r="F39" s="3"/>
      <c r="G39" s="15" t="s">
        <v>0</v>
      </c>
      <c r="H39" s="16"/>
      <c r="I39" s="3">
        <f>I21*I38</f>
        <v>16.727447979767543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292991.6722195585</v>
      </c>
      <c r="E40" s="3"/>
      <c r="F40" s="3"/>
      <c r="G40" s="15" t="s">
        <v>1</v>
      </c>
      <c r="H40" s="16"/>
      <c r="I40" s="3">
        <f>I22*(1+5*(I39/I21-1))</f>
        <v>2.4546549873547146E-3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1963119495.547811</v>
      </c>
      <c r="E41" s="3"/>
      <c r="F41" s="3"/>
      <c r="G41" s="15" t="s">
        <v>86</v>
      </c>
      <c r="H41" s="16"/>
      <c r="I41" s="3">
        <f>I24/(I24-I39/I40)</f>
        <v>1.8298529581431822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1.1003999560798127E-2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8.3674662379744404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2024-05-16T11:46:54Z</dcterms:modified>
</cp:coreProperties>
</file>