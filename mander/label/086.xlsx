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DTp3AwrCbPtmIrLKsw+mPDJtwqxRuPxOuwdJXKRgFmI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<sst xmlns="http://schemas.openxmlformats.org/spreadsheetml/2006/main" count="109" uniqueCount="87">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</sst>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</xdr:row>
      <xdr:rowOff>0</xdr:rowOff>
    </xdr:from>
    <xdr:ext cx="5543550" cy="64008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36.25901947</v>
      </c>
      <c r="B2" s="2">
        <f>Calculate!R3</f>
        <v>0.002823587902</v>
      </c>
      <c r="C2" s="2">
        <f>Calculate!S3</f>
        <v>2.358679146</v>
      </c>
      <c r="D2" s="2">
        <f>Calculate!T3</f>
        <v>0.03478075548</v>
      </c>
      <c r="E2" s="2">
        <f>Calculate!Q6</f>
        <v>178804.4495</v>
      </c>
      <c r="F2" s="2">
        <f>Calculate!R6</f>
        <v>314999697.2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36.25901947</v>
      </c>
      <c r="R3" s="1">
        <f>I40</f>
        <v>0.002823587902</v>
      </c>
      <c r="S3" s="1">
        <f>I43</f>
        <v>2.358679146</v>
      </c>
      <c r="T3" s="1">
        <f>I42</f>
        <v>0.03478075548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152.0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32.0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178804.4495</v>
      </c>
      <c r="R6" s="1">
        <f>D41</f>
        <v>314999697.2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19.1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102.0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317.0</v>
      </c>
      <c r="E12" s="3"/>
      <c r="F12" s="3"/>
      <c r="G12" s="3"/>
      <c r="H12" s="3"/>
      <c r="I12" s="13"/>
      <c r="J12" s="13" t="s">
        <v>15</v>
      </c>
      <c r="K12" s="3"/>
      <c r="L12" s="13">
        <f>3*25.4</f>
        <v>76.2</v>
      </c>
      <c r="M12" s="14">
        <f t="shared" ref="M12:M15" si="3">L12-VLOOKUP($D$22, $G$3:$K$8, 4, FALSE)</f>
        <v>57.15</v>
      </c>
      <c r="N12" s="3">
        <f t="shared" ref="N12:N15" si="4">M12^2</f>
        <v>3266.1225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>8*25.4</f>
        <v>203.2</v>
      </c>
      <c r="M13" s="14">
        <f t="shared" si="3"/>
        <v>184.15</v>
      </c>
      <c r="N13" s="3">
        <f t="shared" si="4"/>
        <v>33911.2225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92.475</v>
      </c>
      <c r="E14" s="3"/>
      <c r="F14" s="3"/>
      <c r="G14" s="3"/>
      <c r="H14" s="3"/>
      <c r="K14" s="3"/>
      <c r="L14" s="13">
        <f>3*25.4</f>
        <v>76.2</v>
      </c>
      <c r="M14" s="14">
        <f t="shared" si="3"/>
        <v>57.15</v>
      </c>
      <c r="N14" s="3">
        <f t="shared" si="4"/>
        <v>3266.1225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257.275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>8*25.4</f>
        <v>203.2</v>
      </c>
      <c r="M15" s="14">
        <f t="shared" si="3"/>
        <v>184.15</v>
      </c>
      <c r="N15" s="3">
        <f t="shared" si="4"/>
        <v>33911.2225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78.475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20189.65563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33.5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496.0</v>
      </c>
      <c r="E24" s="3"/>
      <c r="F24" s="3"/>
      <c r="G24" s="3" t="s">
        <v>59</v>
      </c>
      <c r="I24" s="3">
        <f>15000*SQRT(I21*100/9.8)*0.8*9.8/100</f>
        <v>21742.8609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0.05646910721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0.02459214469</v>
      </c>
      <c r="E27" s="3"/>
      <c r="F27" s="3"/>
      <c r="G27" s="3" t="s">
        <v>64</v>
      </c>
      <c r="I27" s="3">
        <f>(D18-SUM(N:N)/6)*(1-D14/2/D16)*(1-D14/2/D15)</f>
        <v>2627.43002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0.1379259939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0.01780403132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0.005430653417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0.02323468474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9059.525374</v>
      </c>
      <c r="E32" s="3"/>
      <c r="F32" s="3"/>
      <c r="G32" s="3" t="s">
        <v>72</v>
      </c>
      <c r="I32" s="3">
        <f>I28*I29*$D$12</f>
        <v>0.7784374726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7.365395061</v>
      </c>
      <c r="F33" s="3"/>
      <c r="G33" s="3" t="s">
        <v>74</v>
      </c>
      <c r="I33" s="3">
        <f>I28*I30*D12</f>
        <v>0.2374419616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0.01516237961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0.2104673913</v>
      </c>
      <c r="E35" s="3"/>
      <c r="F35" s="3"/>
      <c r="G35" s="3" t="s">
        <v>78</v>
      </c>
      <c r="I35" s="3">
        <f>MIN(I32, I33)/MAX(I32, I33)</f>
        <v>0.3050238072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1.210467391</v>
      </c>
      <c r="E36" s="3">
        <f>1+D35</f>
        <v>1.210467391</v>
      </c>
      <c r="F36" s="3"/>
      <c r="G36" s="3" t="s">
        <v>80</v>
      </c>
      <c r="I36" s="3">
        <f>6.8886-(0.6069+17.275*I35)*EXP(1)^(-4.989*I35)</f>
        <v>5.605673003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1.748719203</v>
      </c>
      <c r="E37" s="3"/>
      <c r="F37" s="3"/>
      <c r="G37" s="3" t="s">
        <v>82</v>
      </c>
      <c r="I37" s="3">
        <f>4.5/(5/I36*(0.9849-0.6306*EXP(1)^(-3.989*I35))-0.1)-5</f>
        <v>2.354312033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64856.49779</v>
      </c>
      <c r="E38" s="3"/>
      <c r="F38" s="3"/>
      <c r="G38" s="3" t="s">
        <v>84</v>
      </c>
      <c r="I38" s="3">
        <f>1+I36*I34*(0.1+0.9/(1+I37*I34))</f>
        <v>1.08235879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113947.9518</v>
      </c>
      <c r="E39" s="3"/>
      <c r="F39" s="3"/>
      <c r="G39" s="3" t="s">
        <v>0</v>
      </c>
      <c r="I39" s="3">
        <f>I21*I38</f>
        <v>36.25901947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178804.4495</v>
      </c>
      <c r="E40" s="3"/>
      <c r="F40" s="3"/>
      <c r="G40" s="3" t="s">
        <v>1</v>
      </c>
      <c r="I40" s="3">
        <f>I22*(1+5*(I39/I21-1))</f>
        <v>0.002823587902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314999697.2</v>
      </c>
      <c r="E41" s="3"/>
      <c r="F41" s="3"/>
      <c r="G41" s="3" t="s">
        <v>86</v>
      </c>
      <c r="I41" s="3">
        <f>I24/(I24-I39/I40)</f>
        <v>2.442636355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0.03478075548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2.358679146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