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T8RfFqTR9fK84gVECknfU94IyL+P34cpiMhXoV8j4WA="/>
    </ext>
  </extLst>
</workbook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<sst xmlns="http://schemas.openxmlformats.org/spreadsheetml/2006/main" count="109" uniqueCount="87">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</sst>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/>
    </xf>
    <xf borderId="4" fillId="2" fontId="1" numFmtId="0" xfId="0" applyAlignment="1" applyBorder="1" applyFill="1" applyFont="1">
      <alignment horizontal="center" readingOrder="0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19050</xdr:colOff>
      <xdr:row>17</xdr:row>
      <xdr:rowOff>190500</xdr:rowOff>
    </xdr:from>
    <xdr:ext cx="6734175" cy="4143375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116.2515926</v>
      </c>
      <c r="B2" s="2">
        <f>Calculate!R3</f>
        <v>0.007296262184</v>
      </c>
      <c r="C2" s="2">
        <f>Calculate!S3</f>
        <v>43.6055112</v>
      </c>
      <c r="D2" s="2">
        <f>Calculate!T3</f>
        <v>0.04004821759</v>
      </c>
      <c r="E2" s="2">
        <f>Calculate!Q6</f>
        <v>615511.4154</v>
      </c>
      <c r="F2" s="2">
        <f>Calculate!R6</f>
        <v>660265393.1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6">
        <f t="shared" ref="J3:J8" si="1">I3*25.4</f>
        <v>9.525</v>
      </c>
      <c r="K3" s="1">
        <f t="shared" ref="K3:K8" si="2">PI()*J3^2/4</f>
        <v>71.25573925</v>
      </c>
      <c r="L3" s="3"/>
      <c r="M3" s="3"/>
      <c r="N3" s="3"/>
      <c r="O3" s="3"/>
      <c r="P3" s="3"/>
      <c r="Q3" s="1">
        <f>I39</f>
        <v>116.2515926</v>
      </c>
      <c r="R3" s="1">
        <f>I40</f>
        <v>0.007296262184</v>
      </c>
      <c r="S3" s="1">
        <f>I43</f>
        <v>43.6055112</v>
      </c>
      <c r="T3" s="1">
        <f>I42</f>
        <v>0.04004821759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9">
        <v>254.0</v>
      </c>
      <c r="E4" s="3"/>
      <c r="F4" s="3"/>
      <c r="G4" s="8" t="s">
        <v>15</v>
      </c>
      <c r="H4" s="6" t="s">
        <v>16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9">
        <v>254.0</v>
      </c>
      <c r="E5" s="3"/>
      <c r="F5" s="3"/>
      <c r="G5" s="8" t="s">
        <v>18</v>
      </c>
      <c r="H5" s="6" t="s">
        <v>19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0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9">
        <v>13.0</v>
      </c>
      <c r="E6" s="3"/>
      <c r="F6" s="3"/>
      <c r="G6" s="8" t="s">
        <v>21</v>
      </c>
      <c r="H6" s="6" t="s">
        <v>22</v>
      </c>
      <c r="I6" s="6">
        <f>6/8</f>
        <v>0.75</v>
      </c>
      <c r="J6" s="6">
        <f t="shared" si="1"/>
        <v>19.05</v>
      </c>
      <c r="K6" s="1">
        <f t="shared" si="2"/>
        <v>285.022957</v>
      </c>
      <c r="L6" s="3"/>
      <c r="M6" s="3"/>
      <c r="N6" s="3"/>
      <c r="O6" s="3"/>
      <c r="P6" s="3"/>
      <c r="Q6" s="1">
        <f>D40</f>
        <v>615511.4154</v>
      </c>
      <c r="R6" s="1">
        <f>D41</f>
        <v>660265393.1</v>
      </c>
      <c r="S6" s="10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23</v>
      </c>
      <c r="D7" s="9">
        <v>13.0</v>
      </c>
      <c r="E7" s="3"/>
      <c r="F7" s="3"/>
      <c r="G7" s="8" t="s">
        <v>24</v>
      </c>
      <c r="H7" s="6" t="s">
        <v>25</v>
      </c>
      <c r="I7" s="6">
        <f>7/8</f>
        <v>0.875</v>
      </c>
      <c r="J7" s="6">
        <f t="shared" si="1"/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1" t="s">
        <v>26</v>
      </c>
      <c r="H8" s="6" t="s">
        <v>27</v>
      </c>
      <c r="I8" s="6">
        <f>8/8</f>
        <v>1</v>
      </c>
      <c r="J8" s="6">
        <f t="shared" si="1"/>
        <v>25.4</v>
      </c>
      <c r="K8" s="1">
        <f t="shared" si="2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29</v>
      </c>
      <c r="C10" s="12"/>
      <c r="D10" s="9">
        <v>51.0</v>
      </c>
      <c r="E10" s="3"/>
      <c r="F10" s="3"/>
      <c r="G10" s="3" t="s">
        <v>30</v>
      </c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3" t="s">
        <v>33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34</v>
      </c>
      <c r="C11" s="12"/>
      <c r="D11" s="9" t="s">
        <v>12</v>
      </c>
      <c r="E11" s="3"/>
      <c r="F11" s="3"/>
      <c r="G11" s="3"/>
      <c r="H11" s="3"/>
      <c r="I11" s="9">
        <v>3.0</v>
      </c>
      <c r="J11" s="13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39</v>
      </c>
      <c r="C12" s="12"/>
      <c r="D12" s="9">
        <v>510.0</v>
      </c>
      <c r="E12" s="3"/>
      <c r="F12" s="3"/>
      <c r="G12" s="3"/>
      <c r="H12" s="3"/>
      <c r="I12" s="13"/>
      <c r="J12" s="13" t="s">
        <v>15</v>
      </c>
      <c r="K12" s="3"/>
      <c r="L12" s="13">
        <f t="shared" ref="L12:L19" si="3">25.4*7.5/2</f>
        <v>95.25</v>
      </c>
      <c r="M12" s="14">
        <f t="shared" ref="M12:M19" si="4">L12-VLOOKUP($D$22, $G$3:$K$8, 4, FALSE)</f>
        <v>76.2</v>
      </c>
      <c r="N12" s="3">
        <f t="shared" ref="N12:N19" si="5">M12^2</f>
        <v>5806.44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41</v>
      </c>
      <c r="C13" s="12"/>
      <c r="D13" s="9">
        <v>1.0</v>
      </c>
      <c r="E13" s="3"/>
      <c r="F13" s="3"/>
      <c r="G13" s="3"/>
      <c r="H13" s="3"/>
      <c r="I13" s="13"/>
      <c r="J13" s="13" t="s">
        <v>18</v>
      </c>
      <c r="K13" s="3"/>
      <c r="L13" s="13">
        <f t="shared" si="3"/>
        <v>95.25</v>
      </c>
      <c r="M13" s="14">
        <f t="shared" si="4"/>
        <v>76.2</v>
      </c>
      <c r="N13" s="3">
        <f t="shared" si="5"/>
        <v>5806.44</v>
      </c>
      <c r="O13" s="3"/>
      <c r="P13" s="3"/>
      <c r="Q13" s="3" t="s">
        <v>42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43</v>
      </c>
      <c r="D14" s="3">
        <f>D10-D13*VLOOKUP(D11,G3:K8,4,FALSE)</f>
        <v>41.475</v>
      </c>
      <c r="E14" s="3"/>
      <c r="F14" s="3"/>
      <c r="G14" s="3"/>
      <c r="H14" s="3"/>
      <c r="K14" s="3"/>
      <c r="L14" s="13">
        <f t="shared" si="3"/>
        <v>95.25</v>
      </c>
      <c r="M14" s="14">
        <f t="shared" si="4"/>
        <v>76.2</v>
      </c>
      <c r="N14" s="3">
        <f t="shared" si="5"/>
        <v>5806.44</v>
      </c>
      <c r="O14" s="3"/>
      <c r="P14" s="3"/>
      <c r="Q14" s="3" t="s">
        <v>44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45</v>
      </c>
      <c r="D15" s="15">
        <f>D4-2*D7-VLOOKUP(D11, G3:K8, 4,FALSE )</f>
        <v>218.475</v>
      </c>
      <c r="E15" s="3"/>
      <c r="F15" s="3"/>
      <c r="G15" s="3" t="s">
        <v>46</v>
      </c>
      <c r="I15" s="3" t="s">
        <v>31</v>
      </c>
      <c r="J15" s="3" t="s">
        <v>32</v>
      </c>
      <c r="K15" s="3"/>
      <c r="L15" s="13">
        <f t="shared" si="3"/>
        <v>95.25</v>
      </c>
      <c r="M15" s="14">
        <f t="shared" si="4"/>
        <v>76.2</v>
      </c>
      <c r="N15" s="3">
        <f t="shared" si="5"/>
        <v>5806.44</v>
      </c>
      <c r="O15" s="3"/>
      <c r="P15" s="3"/>
      <c r="Q15" s="3" t="s">
        <v>47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48</v>
      </c>
      <c r="D16" s="15">
        <f>D5-2*D6-VLOOKUP(D11, G3:K8, 4,FALSE )</f>
        <v>218.475</v>
      </c>
      <c r="E16" s="3"/>
      <c r="F16" s="3"/>
      <c r="G16" s="3"/>
      <c r="H16" s="3"/>
      <c r="I16" s="9">
        <v>3.0</v>
      </c>
      <c r="J16" s="13" t="s">
        <v>12</v>
      </c>
      <c r="K16" s="3"/>
      <c r="L16" s="13">
        <f t="shared" si="3"/>
        <v>95.25</v>
      </c>
      <c r="M16" s="14">
        <f t="shared" si="4"/>
        <v>76.2</v>
      </c>
      <c r="N16" s="3">
        <f t="shared" si="5"/>
        <v>5806.44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49</v>
      </c>
      <c r="D17" s="3">
        <f>D13*VLOOKUP(D11,G3:K8,5,FALSE)</f>
        <v>71.25573925</v>
      </c>
      <c r="E17" s="3"/>
      <c r="F17" s="3"/>
      <c r="G17" s="3"/>
      <c r="H17" s="3"/>
      <c r="I17" s="13"/>
      <c r="J17" s="13" t="s">
        <v>15</v>
      </c>
      <c r="K17" s="3"/>
      <c r="L17" s="13">
        <f t="shared" si="3"/>
        <v>95.25</v>
      </c>
      <c r="M17" s="14">
        <f t="shared" si="4"/>
        <v>76.2</v>
      </c>
      <c r="N17" s="3">
        <f t="shared" si="5"/>
        <v>5806.44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50</v>
      </c>
      <c r="D18" s="3">
        <f>D15*D16</f>
        <v>47731.32563</v>
      </c>
      <c r="E18" s="3"/>
      <c r="F18" s="3"/>
      <c r="G18" s="3"/>
      <c r="H18" s="3"/>
      <c r="I18" s="13"/>
      <c r="J18" s="13" t="s">
        <v>18</v>
      </c>
      <c r="K18" s="3"/>
      <c r="L18" s="13">
        <f t="shared" si="3"/>
        <v>95.25</v>
      </c>
      <c r="M18" s="14">
        <f t="shared" si="4"/>
        <v>76.2</v>
      </c>
      <c r="N18" s="3">
        <f t="shared" si="5"/>
        <v>5806.44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3">
        <f t="shared" si="3"/>
        <v>95.25</v>
      </c>
      <c r="M19" s="14">
        <f t="shared" si="4"/>
        <v>76.2</v>
      </c>
      <c r="N19" s="3">
        <f t="shared" si="5"/>
        <v>5806.44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51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52</v>
      </c>
      <c r="E21" s="3"/>
      <c r="F21" s="3"/>
      <c r="G21" s="3" t="s">
        <v>53</v>
      </c>
      <c r="I21" s="9">
        <v>76.0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54</v>
      </c>
      <c r="C22" s="12"/>
      <c r="D22" s="9" t="s">
        <v>21</v>
      </c>
      <c r="E22" s="3"/>
      <c r="F22" s="3"/>
      <c r="G22" s="3" t="s">
        <v>55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56</v>
      </c>
      <c r="D23" s="9">
        <v>8.0</v>
      </c>
      <c r="E23" s="3"/>
      <c r="F23" s="3"/>
      <c r="G23" s="3" t="s">
        <v>57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58</v>
      </c>
      <c r="C24" s="12"/>
      <c r="D24" s="9">
        <v>510.0</v>
      </c>
      <c r="E24" s="3"/>
      <c r="F24" s="3"/>
      <c r="G24" s="3" t="s">
        <v>59</v>
      </c>
      <c r="I24" s="3">
        <f>15000*SQRT(I21*100/9.8)*0.8*9.8/100</f>
        <v>32749.229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60</v>
      </c>
      <c r="D25" s="3">
        <f>D23*VLOOKUP(D22, G3:K8, 5,FALSE  )</f>
        <v>2280.183656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61</v>
      </c>
      <c r="D26" s="3">
        <f>D25/D18</f>
        <v>0.04777121997</v>
      </c>
      <c r="E26" s="3"/>
      <c r="F26" s="3"/>
      <c r="G26" s="7" t="s">
        <v>62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63</v>
      </c>
      <c r="D27" s="3">
        <f>D25/D4/D5</f>
        <v>0.03534291735</v>
      </c>
      <c r="E27" s="3"/>
      <c r="F27" s="3"/>
      <c r="G27" s="3" t="s">
        <v>64</v>
      </c>
      <c r="I27" s="3">
        <f>(D18-SUM(N:N)/6)*(1-D14/2/D16)*(1-D14/2/D15)</f>
        <v>32758.16237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65</v>
      </c>
      <c r="I28" s="3">
        <f>I27/(1-D26)/D18</f>
        <v>0.7207335383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66</v>
      </c>
      <c r="I29" s="3">
        <f>(I11*VLOOKUP(J11, G3:K8, 5, FALSE) + I12*VLOOKUP(J12, G3:K8, 5, FALSE) + I13*VLOOKUP(J13, G3:K8, 5, FALSE))/D16/D10</f>
        <v>0.01918532589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67</v>
      </c>
      <c r="C30" s="3">
        <v>0.2</v>
      </c>
      <c r="D30" s="3"/>
      <c r="E30" s="3"/>
      <c r="F30" s="3"/>
      <c r="G30" s="3" t="s">
        <v>68</v>
      </c>
      <c r="I30" s="3">
        <f>(I16*VLOOKUP(J16, G3:K8, 5, FALSE) + I17*VLOOKUP(J17, G3:K8, 5, FALSE)+ I18*VLOOKUP(J18, G3:K8, 5, FALSE))/D15/D10</f>
        <v>0.01918532589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69</v>
      </c>
      <c r="E31" s="3"/>
      <c r="F31" s="3"/>
      <c r="G31" s="3" t="s">
        <v>70</v>
      </c>
      <c r="I31" s="3">
        <f>I29+I30</f>
        <v>0.03837065178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71</v>
      </c>
      <c r="D32" s="3">
        <f>I24/(2*(1+C30))</f>
        <v>13645.51208</v>
      </c>
      <c r="E32" s="3"/>
      <c r="F32" s="3"/>
      <c r="G32" s="3" t="s">
        <v>72</v>
      </c>
      <c r="I32" s="3">
        <f>I28*I29*$D$12</f>
        <v>7.052028983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73</v>
      </c>
      <c r="D33" s="3">
        <f>IF(I31*D12&gt;2.42, 2.42, I31*D12)</f>
        <v>2.42</v>
      </c>
      <c r="E33" s="3">
        <f>D12*I31</f>
        <v>19.56903241</v>
      </c>
      <c r="F33" s="3"/>
      <c r="G33" s="3" t="s">
        <v>74</v>
      </c>
      <c r="I33" s="3">
        <f>I28*I30*D12</f>
        <v>7.052028983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75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76</v>
      </c>
      <c r="I34" s="3">
        <f>(I32+I33)/2/I21</f>
        <v>0.09278985504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77</v>
      </c>
      <c r="D35" s="3">
        <f>0.0867*(D4*D5)*I21/13.8/(D4*D5)</f>
        <v>0.4774782609</v>
      </c>
      <c r="E35" s="3"/>
      <c r="F35" s="3"/>
      <c r="G35" s="3" t="s">
        <v>78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79</v>
      </c>
      <c r="D36" s="3">
        <f>IF(1+D35&gt;1.5, 1.5, 1+D35)</f>
        <v>1.477478261</v>
      </c>
      <c r="E36" s="3">
        <f>1+D35</f>
        <v>1.477478261</v>
      </c>
      <c r="F36" s="3"/>
      <c r="G36" s="3" t="s">
        <v>80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81</v>
      </c>
      <c r="D37" s="3">
        <f>IF(D34*D36*SQRT(I21)&gt;0.33*SQRT(I21), 0.33*SQRT(I21), D34*D36*SQRT(I21))</f>
        <v>2.876873303</v>
      </c>
      <c r="E37" s="3"/>
      <c r="F37" s="3"/>
      <c r="G37" s="3" t="s">
        <v>82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83</v>
      </c>
      <c r="D38" s="3">
        <f>0.8*D4*D5*D37</f>
        <v>148483.4864</v>
      </c>
      <c r="E38" s="3"/>
      <c r="F38" s="3"/>
      <c r="G38" s="3" t="s">
        <v>84</v>
      </c>
      <c r="I38" s="3">
        <f>1+I36*I34*(0.1+0.9/(1+I37*I34))</f>
        <v>1.529626218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85</v>
      </c>
      <c r="D39" s="3">
        <f>(I11*VLOOKUP(J11, G3:K8, 5, FALSE) + I12*VLOOKUP(J12, G3:K8, 5, FALSE) + I13*VLOOKUP(J13, G3:K8, 5, FALSE))*D12*D15/D10</f>
        <v>467027.929</v>
      </c>
      <c r="E39" s="3"/>
      <c r="F39" s="3"/>
      <c r="G39" s="3" t="s">
        <v>0</v>
      </c>
      <c r="I39" s="3">
        <f>I21*I38</f>
        <v>116.2515926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615511.4154</v>
      </c>
      <c r="E40" s="3"/>
      <c r="F40" s="3"/>
      <c r="G40" s="3" t="s">
        <v>1</v>
      </c>
      <c r="I40" s="3">
        <f>I22*(1+5*(I39/I21-1))</f>
        <v>0.007296262184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660265393.1</v>
      </c>
      <c r="E41" s="3"/>
      <c r="F41" s="3"/>
      <c r="G41" s="3" t="s">
        <v>86</v>
      </c>
      <c r="I41" s="3">
        <f>I24/(I24-I39/I40)</f>
        <v>1.947481507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0.04004821759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43.6055112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