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8BYSGPUpa1esRscVoDqcKwclTKymNZ5MjGI3c09hHLE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<sst xmlns="http://schemas.openxmlformats.org/spreadsheetml/2006/main" count="109" uniqueCount="86">
  <si>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</si>
  <si>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</si>
  <si>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</si>
  <si>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</si>
  <si>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</si>
  <si>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</si>
  <si>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</si>
  <si>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</si>
  <si>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</si>
  <si>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</si>
  <si>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</si>
  <si>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</si>
  <si>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5mm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</si>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</sst>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</xdr:row>
      <xdr:rowOff>0</xdr:rowOff>
    </xdr:from>
    <xdr:ext cx="6781800" cy="28003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118.7132119</v>
      </c>
      <c r="B2" s="2">
        <f>Calculate!R3</f>
        <v>0.003930976073</v>
      </c>
      <c r="C2" s="2">
        <f>Calculate!S3</f>
        <v>0.7911345277</v>
      </c>
      <c r="D2" s="2">
        <f>Calculate!T3</f>
        <v>0.01949518334</v>
      </c>
      <c r="E2" s="2">
        <f>Calculate!Q6</f>
        <v>351009.0911</v>
      </c>
      <c r="F2" s="2">
        <f>Calculate!R6</f>
        <v>731873232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5/25.4</f>
        <v>0.1968503937</v>
      </c>
      <c r="J3" s="9">
        <v>5.0</v>
      </c>
      <c r="K3" s="1">
        <f t="shared" ref="K3:K8" si="1">PI()*J3^2/4</f>
        <v>19.63495408</v>
      </c>
      <c r="L3" s="3"/>
      <c r="M3" s="3"/>
      <c r="N3" s="3"/>
      <c r="O3" s="3"/>
      <c r="P3" s="3"/>
      <c r="Q3" s="1">
        <f>I39</f>
        <v>118.7132119</v>
      </c>
      <c r="R3" s="1">
        <f>I40</f>
        <v>0.003930976073</v>
      </c>
      <c r="S3" s="1">
        <f>I43</f>
        <v>0.7911345277</v>
      </c>
      <c r="T3" s="1">
        <f>I42</f>
        <v>0.01949518334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351009.0911</v>
      </c>
      <c r="R6" s="1">
        <f>D41</f>
        <v>731873232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30.5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30.0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774.0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15" si="3">160</f>
        <v>160</v>
      </c>
      <c r="M12" s="16">
        <f t="shared" ref="M12:M15" si="4">L12-VLOOKUP($D$22, $G$3:$K$8, 4, FALSE)</f>
        <v>140.95</v>
      </c>
      <c r="N12" s="3">
        <f t="shared" ref="N12:N15" si="5">M12^2</f>
        <v>19866.9025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160</v>
      </c>
      <c r="M13" s="16">
        <f t="shared" si="4"/>
        <v>140.95</v>
      </c>
      <c r="N13" s="3">
        <f t="shared" si="5"/>
        <v>19866.9025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25</v>
      </c>
      <c r="E14" s="3"/>
      <c r="F14" s="3"/>
      <c r="G14" s="3"/>
      <c r="H14" s="3"/>
      <c r="K14" s="3"/>
      <c r="L14" s="15">
        <f t="shared" si="3"/>
        <v>160</v>
      </c>
      <c r="M14" s="16">
        <f t="shared" si="4"/>
        <v>140.95</v>
      </c>
      <c r="N14" s="3">
        <f t="shared" si="5"/>
        <v>19866.9025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184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160</v>
      </c>
      <c r="M15" s="16">
        <f t="shared" si="4"/>
        <v>140.95</v>
      </c>
      <c r="N15" s="3">
        <f t="shared" si="5"/>
        <v>19866.9025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184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19.63495408</v>
      </c>
      <c r="E17" s="3"/>
      <c r="F17" s="3"/>
      <c r="G17" s="3"/>
      <c r="H17" s="3"/>
      <c r="I17" s="15"/>
      <c r="J17" s="15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33856</v>
      </c>
      <c r="E18" s="3"/>
      <c r="F18" s="3"/>
      <c r="G18" s="3"/>
      <c r="H18" s="3"/>
      <c r="I18" s="15"/>
      <c r="J18" s="15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99.5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339.0</v>
      </c>
      <c r="E24" s="3"/>
      <c r="F24" s="3"/>
      <c r="G24" s="3" t="s">
        <v>58</v>
      </c>
      <c r="I24" s="3">
        <f>15000*SQRT(I21*100/9.8)*0.8*9.8/100</f>
        <v>37471.90948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0.03367473499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0.01824146925</v>
      </c>
      <c r="E27" s="3"/>
      <c r="F27" s="3"/>
      <c r="G27" s="3" t="s">
        <v>63</v>
      </c>
      <c r="I27" s="3">
        <f>(D18-SUM(N:N)/6)*(1-D14/2/D16)*(1-D14/2/D15)</f>
        <v>17906.06098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0.5473196981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0.007114113799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0.007114113799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0.0142282276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15613.29562</v>
      </c>
      <c r="E32" s="3"/>
      <c r="F32" s="3"/>
      <c r="G32" s="3" t="s">
        <v>71</v>
      </c>
      <c r="I32" s="3">
        <f>I28*I29*$D$12</f>
        <v>3.013719633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11.01264816</v>
      </c>
      <c r="F33" s="3"/>
      <c r="G33" s="3" t="s">
        <v>73</v>
      </c>
      <c r="I33" s="3">
        <f>I28*I30*D12</f>
        <v>3.013719633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0.03028863953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0.6251195652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1.625119565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3.291739662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164586.9831</v>
      </c>
      <c r="E38" s="3"/>
      <c r="F38" s="3"/>
      <c r="G38" s="3" t="s">
        <v>83</v>
      </c>
      <c r="I38" s="3">
        <f>1+I36*I34*(0.1+0.9/(1+I37*I34))</f>
        <v>1.193097607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186422.1081</v>
      </c>
      <c r="E39" s="3"/>
      <c r="F39" s="3"/>
      <c r="G39" s="3" t="s">
        <v>0</v>
      </c>
      <c r="I39" s="3">
        <f>I21*I38</f>
        <v>118.7132119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351009.0911</v>
      </c>
      <c r="E40" s="3"/>
      <c r="F40" s="3"/>
      <c r="G40" s="3" t="s">
        <v>1</v>
      </c>
      <c r="I40" s="3">
        <f>I22*(1+5*(I39/I21-1))</f>
        <v>0.003930976073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731873232</v>
      </c>
      <c r="E41" s="3"/>
      <c r="F41" s="3"/>
      <c r="G41" s="3" t="s">
        <v>85</v>
      </c>
      <c r="I41" s="3">
        <f>I24/(I24-I39/I40)</f>
        <v>5.152558635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0.01949518334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0.7911345277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