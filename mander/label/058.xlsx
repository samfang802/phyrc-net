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g4q0TbZiocIR/N6r1GdX+dssPbeVW8OY9zXijVcXZI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<sst xmlns="http://schemas.openxmlformats.org/spreadsheetml/2006/main" count="109" uniqueCount="86">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</sst>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2705100" cy="24479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115.9926809</v>
      </c>
      <c r="B2" s="2">
        <f>Calculate!R3</f>
        <v>0.005534735224</v>
      </c>
      <c r="C2" s="2">
        <f>Calculate!S3</f>
        <v>30.95328832</v>
      </c>
      <c r="D2" s="2">
        <f>Calculate!T3</f>
        <v>0.02369935557</v>
      </c>
      <c r="E2" s="2">
        <f>Calculate!Q6</f>
        <v>284525.4561</v>
      </c>
      <c r="F2" s="2">
        <f>Calculate!R6</f>
        <v>434705072.4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115.9926809</v>
      </c>
      <c r="R3" s="1">
        <f>I40</f>
        <v>0.005534735224</v>
      </c>
      <c r="S3" s="1">
        <f>I43</f>
        <v>30.95328832</v>
      </c>
      <c r="T3" s="1">
        <f>I42</f>
        <v>0.02369935557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284525.4561</v>
      </c>
      <c r="R6" s="1">
        <f>D41</f>
        <v>434705072.4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328.4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85.7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34776.40579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14490.16908</v>
      </c>
      <c r="E32" s="3"/>
      <c r="F32" s="3"/>
      <c r="G32" s="3" t="s">
        <v>71</v>
      </c>
      <c r="I32" s="3">
        <f>I28*I29*$D$12</f>
        <v>5.003273328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12.0588198</v>
      </c>
      <c r="F33" s="3"/>
      <c r="G33" s="3" t="s">
        <v>73</v>
      </c>
      <c r="I33" s="3">
        <f>I28*I30*D12</f>
        <v>5.003273328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0.05838125237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0.5384195652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1.538419565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3.054951718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97758.45498</v>
      </c>
      <c r="E38" s="3"/>
      <c r="F38" s="3"/>
      <c r="G38" s="3" t="s">
        <v>83</v>
      </c>
      <c r="I38" s="3">
        <f>1+I36*I34*(0.1+0.9/(1+I37*I34))</f>
        <v>1.353473522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186767.0011</v>
      </c>
      <c r="E39" s="3"/>
      <c r="F39" s="3"/>
      <c r="G39" s="3" t="s">
        <v>0</v>
      </c>
      <c r="I39" s="3">
        <f>I21*I38</f>
        <v>115.9926809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284525.4561</v>
      </c>
      <c r="E40" s="3"/>
      <c r="F40" s="3"/>
      <c r="G40" s="3" t="s">
        <v>1</v>
      </c>
      <c r="I40" s="3">
        <f>I22*(1+5*(I39/I21-1))</f>
        <v>0.005534735224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434705072.4</v>
      </c>
      <c r="E41" s="3"/>
      <c r="F41" s="3"/>
      <c r="G41" s="3" t="s">
        <v>85</v>
      </c>
      <c r="I41" s="3">
        <f>I24/(I24-I39/I40)</f>
        <v>2.516531299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0.02369935557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30.95328832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