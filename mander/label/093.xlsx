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Ur4b5p/Hy4Bz2RvXl/uGYeljkaXxa59CKbulK363CKA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<sst xmlns="http://schemas.openxmlformats.org/spreadsheetml/2006/main" count="109" uniqueCount="87">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</sst>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533400</xdr:colOff>
      <xdr:row>18</xdr:row>
      <xdr:rowOff>85725</xdr:rowOff>
    </xdr:from>
    <xdr:ext cx="9039225" cy="298132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36.09330893</v>
      </c>
      <c r="B2" s="2">
        <f>Calculate!R3</f>
        <v>0.003350097149</v>
      </c>
      <c r="C2" s="2">
        <f>Calculate!S3</f>
        <v>10.86072037</v>
      </c>
      <c r="D2" s="2">
        <f>Calculate!T3</f>
        <v>0.02073242975</v>
      </c>
      <c r="E2" s="2">
        <f>Calculate!Q6</f>
        <v>227496.6306</v>
      </c>
      <c r="F2" s="2">
        <f>Calculate!R6</f>
        <v>615825324.3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36.09330893</v>
      </c>
      <c r="R3" s="1">
        <f>I40</f>
        <v>0.003350097149</v>
      </c>
      <c r="S3" s="1">
        <f>I43</f>
        <v>10.86072037</v>
      </c>
      <c r="T3" s="1">
        <f>I42</f>
        <v>0.02073242975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305.0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305.0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32.0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227496.6306</v>
      </c>
      <c r="R6" s="1">
        <f>D41</f>
        <v>615825324.3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32.0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392.0</v>
      </c>
      <c r="E12" s="3"/>
      <c r="F12" s="3"/>
      <c r="G12" s="3"/>
      <c r="H12" s="3"/>
      <c r="I12" s="13"/>
      <c r="J12" s="13" t="s">
        <v>15</v>
      </c>
      <c r="K12" s="3"/>
      <c r="L12" s="9">
        <v>200.0</v>
      </c>
      <c r="M12" s="14">
        <f t="shared" ref="M12:M15" si="3">L12-VLOOKUP($D$22, $G$3:$K$8, 4, FALSE)</f>
        <v>177.775</v>
      </c>
      <c r="N12" s="3">
        <f t="shared" ref="N12:N15" si="4">M12^2</f>
        <v>31603.95063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9">
        <v>200.0</v>
      </c>
      <c r="M13" s="14">
        <f t="shared" si="3"/>
        <v>177.775</v>
      </c>
      <c r="N13" s="3">
        <f t="shared" si="4"/>
        <v>31603.95063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117.475</v>
      </c>
      <c r="E14" s="3"/>
      <c r="F14" s="3"/>
      <c r="G14" s="3"/>
      <c r="H14" s="3"/>
      <c r="K14" s="3"/>
      <c r="L14" s="9">
        <v>200.0</v>
      </c>
      <c r="M14" s="14">
        <f t="shared" si="3"/>
        <v>177.775</v>
      </c>
      <c r="N14" s="3">
        <f t="shared" si="4"/>
        <v>31603.95063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231.475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200.0</v>
      </c>
      <c r="M15" s="14">
        <f t="shared" si="3"/>
        <v>177.775</v>
      </c>
      <c r="N15" s="3">
        <f t="shared" si="4"/>
        <v>31603.95063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231.475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53580.67563</v>
      </c>
      <c r="E18" s="3"/>
      <c r="F18" s="3"/>
      <c r="G18" s="3"/>
      <c r="H18" s="3"/>
      <c r="I18" s="13"/>
      <c r="J18" s="13" t="s">
        <v>18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31.8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24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429.0</v>
      </c>
      <c r="E24" s="3"/>
      <c r="F24" s="3"/>
      <c r="G24" s="3" t="s">
        <v>59</v>
      </c>
      <c r="I24" s="3">
        <f>15000*SQRT(I21*100/9.8)*0.8*9.8/100</f>
        <v>21183.99396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1551.791655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0.02896177841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0.01668144751</v>
      </c>
      <c r="E27" s="3"/>
      <c r="F27" s="3"/>
      <c r="G27" s="3" t="s">
        <v>64</v>
      </c>
      <c r="I27" s="3">
        <f>(D18-SUM(N:N)/6)*(1-D14/2/D16)*(1-D14/2/D15)</f>
        <v>18105.07859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0.3479812983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0.004847770282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0.004847770282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0.009695540563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8826.664149</v>
      </c>
      <c r="E32" s="3"/>
      <c r="F32" s="3"/>
      <c r="G32" s="3" t="s">
        <v>72</v>
      </c>
      <c r="I32" s="3">
        <f>I28*I29*$D$12</f>
        <v>0.6612778914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3.800651901</v>
      </c>
      <c r="F33" s="3"/>
      <c r="G33" s="3" t="s">
        <v>74</v>
      </c>
      <c r="I33" s="3">
        <f>I28*I30*D12</f>
        <v>0.6612778914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0.02079490224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0.1997869565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1.199786957</v>
      </c>
      <c r="E36" s="3">
        <f>1+D35</f>
        <v>1.199786957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1.688738005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125675.8823</v>
      </c>
      <c r="E38" s="3"/>
      <c r="F38" s="3"/>
      <c r="G38" s="3" t="s">
        <v>84</v>
      </c>
      <c r="I38" s="3">
        <f>1+I36*I34*(0.1+0.9/(1+I37*I34))</f>
        <v>1.135009715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101820.7483</v>
      </c>
      <c r="E39" s="3"/>
      <c r="F39" s="3"/>
      <c r="G39" s="3" t="s">
        <v>0</v>
      </c>
      <c r="I39" s="3">
        <f>I21*I38</f>
        <v>36.09330893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227496.6306</v>
      </c>
      <c r="E40" s="3"/>
      <c r="F40" s="3"/>
      <c r="G40" s="3" t="s">
        <v>1</v>
      </c>
      <c r="I40" s="3">
        <f>I22*(1+5*(I39/I21-1))</f>
        <v>0.003350097149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615825324.3</v>
      </c>
      <c r="E41" s="3"/>
      <c r="F41" s="3"/>
      <c r="G41" s="3" t="s">
        <v>86</v>
      </c>
      <c r="I41" s="3">
        <f>I24/(I24-I39/I40)</f>
        <v>2.034929766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0.02073242975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10.86072037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