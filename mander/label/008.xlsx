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VKVLfsM5h6IRDBQFNLTzPG/H3mkA9W8c6OlbfI9k61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<sst xmlns="http://schemas.openxmlformats.org/spreadsheetml/2006/main" count="109" uniqueCount="87">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</sst>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524125" cy="23907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55.55442647</v>
      </c>
      <c r="B2" s="2">
        <f>Calculate!R3</f>
        <v>0.004626006015</v>
      </c>
      <c r="C2" s="2">
        <f>Calculate!S3</f>
        <v>25.88962114</v>
      </c>
      <c r="D2" s="2">
        <f>Calculate!T3</f>
        <v>0.02013474159</v>
      </c>
      <c r="E2" s="2">
        <f>Calculate!Q6</f>
        <v>610147.6281</v>
      </c>
      <c r="F2" s="2">
        <f>Calculate!R6</f>
        <v>1245921346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55.55442647</v>
      </c>
      <c r="R3" s="1">
        <f>I40</f>
        <v>0.004626006015</v>
      </c>
      <c r="S3" s="1">
        <f>I43</f>
        <v>25.88962114</v>
      </c>
      <c r="T3" s="1">
        <f>I42</f>
        <v>0.02013474159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9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610147.6281</v>
      </c>
      <c r="R6" s="1">
        <f>D41</f>
        <v>1245921346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78.0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360.0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342/3</f>
        <v>114</v>
      </c>
      <c r="M12" s="16">
        <f t="shared" ref="M12:M23" si="4">L12-VLOOKUP($D$22, $G$3:$K$8, 4, FALSE)</f>
        <v>98</v>
      </c>
      <c r="N12" s="3">
        <f t="shared" ref="N12:N23" si="5">M12^2</f>
        <v>9604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114</v>
      </c>
      <c r="M13" s="16">
        <f t="shared" si="4"/>
        <v>98</v>
      </c>
      <c r="N13" s="3">
        <f t="shared" si="5"/>
        <v>9604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62</v>
      </c>
      <c r="E14" s="3"/>
      <c r="F14" s="3"/>
      <c r="G14" s="3"/>
      <c r="H14" s="3"/>
      <c r="K14" s="3"/>
      <c r="L14" s="15">
        <f t="shared" si="3"/>
        <v>114</v>
      </c>
      <c r="M14" s="16">
        <f t="shared" si="4"/>
        <v>98</v>
      </c>
      <c r="N14" s="3">
        <f t="shared" si="5"/>
        <v>9604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366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114</v>
      </c>
      <c r="M15" s="16">
        <f t="shared" si="4"/>
        <v>98</v>
      </c>
      <c r="N15" s="3">
        <f t="shared" si="5"/>
        <v>9604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366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114</v>
      </c>
      <c r="M16" s="16">
        <f t="shared" si="4"/>
        <v>98</v>
      </c>
      <c r="N16" s="3">
        <f t="shared" si="5"/>
        <v>9604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100.5309649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114</v>
      </c>
      <c r="M17" s="16">
        <f t="shared" si="4"/>
        <v>98</v>
      </c>
      <c r="N17" s="3">
        <f t="shared" si="5"/>
        <v>9604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133956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114</v>
      </c>
      <c r="M18" s="16">
        <f t="shared" si="4"/>
        <v>98</v>
      </c>
      <c r="N18" s="3">
        <f t="shared" si="5"/>
        <v>9604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114</v>
      </c>
      <c r="M19" s="16">
        <f t="shared" si="4"/>
        <v>98</v>
      </c>
      <c r="N19" s="3">
        <f t="shared" si="5"/>
        <v>9604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114</v>
      </c>
      <c r="M20" s="16">
        <f t="shared" si="4"/>
        <v>98</v>
      </c>
      <c r="N20" s="3">
        <f t="shared" si="5"/>
        <v>9604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44.0</v>
      </c>
      <c r="J21" s="3"/>
      <c r="K21" s="3"/>
      <c r="L21" s="15">
        <f t="shared" si="3"/>
        <v>114</v>
      </c>
      <c r="M21" s="16">
        <f t="shared" si="4"/>
        <v>98</v>
      </c>
      <c r="N21" s="3">
        <f t="shared" si="5"/>
        <v>9604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114</v>
      </c>
      <c r="M22" s="16">
        <f t="shared" si="4"/>
        <v>98</v>
      </c>
      <c r="N22" s="3">
        <f t="shared" si="5"/>
        <v>9604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114</v>
      </c>
      <c r="M23" s="16">
        <f t="shared" si="4"/>
        <v>98</v>
      </c>
      <c r="N23" s="3">
        <f t="shared" si="5"/>
        <v>9604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446.0</v>
      </c>
      <c r="E24" s="3"/>
      <c r="F24" s="3"/>
      <c r="G24" s="3" t="s">
        <v>59</v>
      </c>
      <c r="I24" s="3">
        <f>15000*SQRT(I21*100/9.8)*0.8*9.8/100</f>
        <v>24918.42692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0.01801146017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96133.01606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0.7308091526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0.007042942757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0.007042942757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0.01408588551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10382.67788</v>
      </c>
      <c r="E32" s="3"/>
      <c r="F32" s="3"/>
      <c r="G32" s="3" t="s">
        <v>72</v>
      </c>
      <c r="I32" s="3">
        <f>I28*I29*$D$12</f>
        <v>1.85293693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5.070918785</v>
      </c>
      <c r="F33" s="3"/>
      <c r="G33" s="3" t="s">
        <v>74</v>
      </c>
      <c r="I33" s="3">
        <f>I28*I30*D12</f>
        <v>1.85293693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0.04211220296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0.2764347826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1.276434783</v>
      </c>
      <c r="E36" s="3">
        <f>1+D35</f>
        <v>1.276434783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2.113340857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270507.6298</v>
      </c>
      <c r="E38" s="3"/>
      <c r="F38" s="3"/>
      <c r="G38" s="3" t="s">
        <v>84</v>
      </c>
      <c r="I38" s="3">
        <f>1+I36*I34*(0.1+0.9/(1+I37*I34))</f>
        <v>1.262600602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339639.9984</v>
      </c>
      <c r="E39" s="3"/>
      <c r="F39" s="3"/>
      <c r="G39" s="3" t="s">
        <v>0</v>
      </c>
      <c r="I39" s="3">
        <f>I21*I38</f>
        <v>55.55442647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610147.6281</v>
      </c>
      <c r="E40" s="3"/>
      <c r="F40" s="3"/>
      <c r="G40" s="3" t="s">
        <v>1</v>
      </c>
      <c r="I40" s="3">
        <f>I22*(1+5*(I39/I21-1))</f>
        <v>0.004626006015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1245921346</v>
      </c>
      <c r="E41" s="3"/>
      <c r="F41" s="3"/>
      <c r="G41" s="3" t="s">
        <v>86</v>
      </c>
      <c r="I41" s="3">
        <f>I24/(I24-I39/I40)</f>
        <v>1.930273714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0.02013474159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25.88962114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