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Af0VcO39j0wy3x0/RmkCsNxkKlSl4AZFQFJ+3PhzyX0="/>
    </ext>
  </extLst>
</workbook>
</file>

<file path=xl/sharedStrings.xml><?xml version="1.0" encoding="utf-8"?>
<sst xmlns="http://schemas.openxmlformats.org/spreadsheetml/2006/main" count="109" uniqueCount="86">
  <si>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</si>
  <si>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</si>
  <si>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</si>
  <si>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</si>
  <si>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</si>
  <si>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</si>
  <si>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</si>
  <si>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</si>
  <si>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</si>
  <si>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</si>
  <si>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</si>
  <si>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</si>
  <si>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#2</t>
  </si>
  <si>
    <t>Width(y)</t>
  </si>
  <si>
    <t>#4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</si>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</sst>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4" fillId="2" fontId="1" numFmtId="0" xfId="0" applyAlignment="1" applyBorder="1" applyFill="1" applyFont="1">
      <alignment horizontal="center" readingOrder="0"/>
    </xf>
    <xf borderId="3" fillId="0" fontId="1" numFmtId="164" xfId="0" applyAlignment="1" applyBorder="1" applyFont="1" applyNumberFormat="1">
      <alignment horizontal="center"/>
    </xf>
    <xf borderId="5" fillId="0" fontId="1" numFmtId="0" xfId="0" applyAlignment="1" applyBorder="1" applyFont="1">
      <alignment horizontal="center"/>
    </xf>
    <xf borderId="4" fillId="2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gif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542925</xdr:colOff>
      <xdr:row>16</xdr:row>
      <xdr:rowOff>95250</xdr:rowOff>
    </xdr:from>
    <xdr:ext cx="8829675" cy="6438900"/>
    <xdr:pic>
      <xdr:nvPicPr>
        <xdr:cNvPr id="0" name="image2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40.18901499</v>
      </c>
      <c r="B2" s="2">
        <f>Calculate!R3</f>
        <v>0.004519942363</v>
      </c>
      <c r="C2" s="2">
        <f>Calculate!S3</f>
        <v>11.2179323</v>
      </c>
      <c r="D2" s="2">
        <f>Calculate!T3</f>
        <v>0.05612970434</v>
      </c>
      <c r="E2" s="2">
        <f>Calculate!Q6</f>
        <v>115201.454</v>
      </c>
      <c r="F2" s="2">
        <f>Calculate!R6</f>
        <v>308956083.7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9" t="s">
        <v>12</v>
      </c>
      <c r="I3" s="6">
        <f>2/8</f>
        <v>0.25</v>
      </c>
      <c r="J3" s="6">
        <f t="shared" ref="J3:J8" si="1">I3*25.4</f>
        <v>6.35</v>
      </c>
      <c r="K3" s="1">
        <f t="shared" ref="K3:K8" si="2">PI()*J3^2/4</f>
        <v>31.66921744</v>
      </c>
      <c r="L3" s="3"/>
      <c r="M3" s="3"/>
      <c r="N3" s="3"/>
      <c r="O3" s="3"/>
      <c r="P3" s="3"/>
      <c r="Q3" s="1">
        <f>I39</f>
        <v>40.18901499</v>
      </c>
      <c r="R3" s="1">
        <f>I40</f>
        <v>0.004519942363</v>
      </c>
      <c r="S3" s="1">
        <f>I43</f>
        <v>11.2179323</v>
      </c>
      <c r="T3" s="1">
        <f>I42</f>
        <v>0.05612970434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13</v>
      </c>
      <c r="D4" s="10">
        <v>152.4</v>
      </c>
      <c r="E4" s="3"/>
      <c r="F4" s="3"/>
      <c r="G4" s="11" t="s">
        <v>14</v>
      </c>
      <c r="H4" s="6" t="s">
        <v>15</v>
      </c>
      <c r="I4" s="6">
        <f>4/8</f>
        <v>0.5</v>
      </c>
      <c r="J4" s="6">
        <f t="shared" si="1"/>
        <v>12.7</v>
      </c>
      <c r="K4" s="1">
        <f t="shared" si="2"/>
        <v>126.6768698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16</v>
      </c>
      <c r="D5" s="10">
        <v>304.8</v>
      </c>
      <c r="E5" s="3"/>
      <c r="F5" s="3"/>
      <c r="G5" s="11" t="s">
        <v>17</v>
      </c>
      <c r="H5" s="6" t="s">
        <v>18</v>
      </c>
      <c r="I5" s="6">
        <f>5/8</f>
        <v>0.625</v>
      </c>
      <c r="J5" s="6">
        <f t="shared" si="1"/>
        <v>15.875</v>
      </c>
      <c r="K5" s="1">
        <f t="shared" si="2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2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19</v>
      </c>
      <c r="D6" s="13">
        <f t="shared" ref="D6:D7" si="3">11/8*25.4</f>
        <v>34.925</v>
      </c>
      <c r="E6" s="3"/>
      <c r="F6" s="3"/>
      <c r="G6" s="11" t="s">
        <v>20</v>
      </c>
      <c r="H6" s="6" t="s">
        <v>21</v>
      </c>
      <c r="I6" s="6">
        <f>6/8</f>
        <v>0.75</v>
      </c>
      <c r="J6" s="6">
        <f t="shared" si="1"/>
        <v>19.05</v>
      </c>
      <c r="K6" s="1">
        <f t="shared" si="2"/>
        <v>285.022957</v>
      </c>
      <c r="L6" s="3"/>
      <c r="M6" s="3"/>
      <c r="N6" s="3"/>
      <c r="O6" s="3"/>
      <c r="P6" s="3"/>
      <c r="Q6" s="1">
        <f>D40</f>
        <v>115201.454</v>
      </c>
      <c r="R6" s="1">
        <f>D41</f>
        <v>308956083.7</v>
      </c>
      <c r="S6" s="12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22</v>
      </c>
      <c r="D7" s="13">
        <f t="shared" si="3"/>
        <v>34.925</v>
      </c>
      <c r="E7" s="3"/>
      <c r="F7" s="3"/>
      <c r="G7" s="11" t="s">
        <v>23</v>
      </c>
      <c r="H7" s="6" t="s">
        <v>24</v>
      </c>
      <c r="I7" s="6">
        <f>7/8</f>
        <v>0.875</v>
      </c>
      <c r="J7" s="6">
        <f t="shared" si="1"/>
        <v>22.225</v>
      </c>
      <c r="K7" s="1">
        <f t="shared" si="2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4" t="s">
        <v>25</v>
      </c>
      <c r="H8" s="6" t="s">
        <v>26</v>
      </c>
      <c r="I8" s="6">
        <f>8/8</f>
        <v>1</v>
      </c>
      <c r="J8" s="6">
        <f t="shared" si="1"/>
        <v>25.4</v>
      </c>
      <c r="K8" s="1">
        <f t="shared" si="2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27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28</v>
      </c>
      <c r="C10" s="15"/>
      <c r="D10" s="10">
        <v>38.1</v>
      </c>
      <c r="E10" s="3"/>
      <c r="F10" s="3"/>
      <c r="G10" s="3" t="s">
        <v>29</v>
      </c>
      <c r="I10" s="3" t="s">
        <v>30</v>
      </c>
      <c r="J10" s="3" t="s">
        <v>31</v>
      </c>
      <c r="K10" s="3"/>
      <c r="L10" s="3"/>
      <c r="M10" s="3"/>
      <c r="N10" s="3"/>
      <c r="O10" s="3"/>
      <c r="P10" s="3"/>
      <c r="Q10" s="3" t="s">
        <v>32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33</v>
      </c>
      <c r="C11" s="15"/>
      <c r="D11" s="10" t="s">
        <v>12</v>
      </c>
      <c r="E11" s="3"/>
      <c r="F11" s="3"/>
      <c r="G11" s="3"/>
      <c r="H11" s="3"/>
      <c r="I11" s="10">
        <v>2.0</v>
      </c>
      <c r="J11" s="10" t="s">
        <v>12</v>
      </c>
      <c r="K11" s="3"/>
      <c r="L11" s="3" t="s">
        <v>34</v>
      </c>
      <c r="M11" s="3" t="s">
        <v>35</v>
      </c>
      <c r="N11" s="3" t="s">
        <v>36</v>
      </c>
      <c r="O11" s="3"/>
      <c r="P11" s="3"/>
      <c r="Q11" s="3" t="s">
        <v>37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38</v>
      </c>
      <c r="C12" s="15"/>
      <c r="D12" s="10">
        <v>410.9</v>
      </c>
      <c r="E12" s="3"/>
      <c r="F12" s="3"/>
      <c r="G12" s="3"/>
      <c r="H12" s="3"/>
      <c r="I12" s="13"/>
      <c r="J12" s="13" t="s">
        <v>14</v>
      </c>
      <c r="K12" s="3"/>
      <c r="L12" s="13">
        <f>2*25.4</f>
        <v>50.8</v>
      </c>
      <c r="M12" s="16">
        <f t="shared" ref="M12:M15" si="4">L12-VLOOKUP($D$22, $G$3:$K$8, 4, FALSE)</f>
        <v>31.75</v>
      </c>
      <c r="N12" s="3">
        <f t="shared" ref="N12:N15" si="5">M12^2</f>
        <v>1008.0625</v>
      </c>
      <c r="O12" s="3"/>
      <c r="P12" s="3"/>
      <c r="Q12" s="3" t="s">
        <v>39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40</v>
      </c>
      <c r="C13" s="15"/>
      <c r="D13" s="10">
        <v>1.0</v>
      </c>
      <c r="E13" s="3"/>
      <c r="F13" s="3"/>
      <c r="G13" s="3"/>
      <c r="H13" s="3"/>
      <c r="I13" s="13"/>
      <c r="J13" s="13" t="s">
        <v>17</v>
      </c>
      <c r="K13" s="3"/>
      <c r="L13" s="13">
        <f>8*25.4</f>
        <v>203.2</v>
      </c>
      <c r="M13" s="16">
        <f t="shared" si="4"/>
        <v>184.15</v>
      </c>
      <c r="N13" s="3">
        <f t="shared" si="5"/>
        <v>33911.2225</v>
      </c>
      <c r="O13" s="3"/>
      <c r="P13" s="3"/>
      <c r="Q13" s="3" t="s">
        <v>41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42</v>
      </c>
      <c r="D14" s="3">
        <f>D10-D13*VLOOKUP(D11,G3:K8,4,FALSE)</f>
        <v>31.75</v>
      </c>
      <c r="E14" s="3"/>
      <c r="F14" s="3"/>
      <c r="G14" s="3"/>
      <c r="H14" s="3"/>
      <c r="K14" s="3"/>
      <c r="L14" s="13">
        <f>2*25.4</f>
        <v>50.8</v>
      </c>
      <c r="M14" s="16">
        <f t="shared" si="4"/>
        <v>31.75</v>
      </c>
      <c r="N14" s="3">
        <f t="shared" si="5"/>
        <v>1008.0625</v>
      </c>
      <c r="O14" s="3"/>
      <c r="P14" s="3"/>
      <c r="Q14" s="3" t="s">
        <v>43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44</v>
      </c>
      <c r="D15" s="17">
        <f>D4-2*D7-VLOOKUP(D11, G3:K8, 4,FALSE )</f>
        <v>76.2</v>
      </c>
      <c r="E15" s="3"/>
      <c r="F15" s="3"/>
      <c r="G15" s="3" t="s">
        <v>45</v>
      </c>
      <c r="I15" s="3" t="s">
        <v>30</v>
      </c>
      <c r="J15" s="3" t="s">
        <v>31</v>
      </c>
      <c r="K15" s="3"/>
      <c r="L15" s="13">
        <f>8*25.4</f>
        <v>203.2</v>
      </c>
      <c r="M15" s="16">
        <f t="shared" si="4"/>
        <v>184.15</v>
      </c>
      <c r="N15" s="3">
        <f t="shared" si="5"/>
        <v>33911.2225</v>
      </c>
      <c r="O15" s="3"/>
      <c r="P15" s="3"/>
      <c r="Q15" s="3" t="s">
        <v>46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47</v>
      </c>
      <c r="D16" s="17">
        <f>D5-2*D6-VLOOKUP(D11, G3:K8, 4,FALSE )</f>
        <v>228.6</v>
      </c>
      <c r="E16" s="3"/>
      <c r="F16" s="3"/>
      <c r="G16" s="3"/>
      <c r="H16" s="3"/>
      <c r="I16" s="10">
        <v>2.0</v>
      </c>
      <c r="J16" s="10" t="s">
        <v>12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48</v>
      </c>
      <c r="D17" s="3">
        <f>D13*VLOOKUP(D11,G3:K8,5,FALSE)</f>
        <v>31.66921744</v>
      </c>
      <c r="E17" s="3"/>
      <c r="F17" s="3"/>
      <c r="G17" s="3"/>
      <c r="H17" s="3"/>
      <c r="I17" s="13"/>
      <c r="J17" s="13" t="s">
        <v>14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49</v>
      </c>
      <c r="D18" s="3">
        <f>D15*D16</f>
        <v>17419.32</v>
      </c>
      <c r="E18" s="3"/>
      <c r="F18" s="3"/>
      <c r="G18" s="3"/>
      <c r="H18" s="3"/>
      <c r="I18" s="13"/>
      <c r="J18" s="13" t="s">
        <v>17</v>
      </c>
      <c r="K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50</v>
      </c>
      <c r="J20" s="3"/>
      <c r="K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51</v>
      </c>
      <c r="E21" s="3"/>
      <c r="F21" s="3"/>
      <c r="G21" s="3" t="s">
        <v>52</v>
      </c>
      <c r="I21" s="10">
        <v>32.1</v>
      </c>
      <c r="J21" s="3"/>
      <c r="K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53</v>
      </c>
      <c r="C22" s="15"/>
      <c r="D22" s="10" t="s">
        <v>20</v>
      </c>
      <c r="E22" s="3"/>
      <c r="F22" s="3"/>
      <c r="G22" s="3" t="s">
        <v>54</v>
      </c>
      <c r="I22" s="3">
        <v>0.002</v>
      </c>
      <c r="J22" s="3"/>
      <c r="K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55</v>
      </c>
      <c r="D23" s="10">
        <v>4.0</v>
      </c>
      <c r="E23" s="3"/>
      <c r="F23" s="3"/>
      <c r="G23" s="3" t="s">
        <v>56</v>
      </c>
      <c r="I23" s="3">
        <v>0.005</v>
      </c>
      <c r="J23" s="3"/>
      <c r="K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57</v>
      </c>
      <c r="C24" s="15"/>
      <c r="D24" s="10">
        <v>453.0</v>
      </c>
      <c r="E24" s="3"/>
      <c r="F24" s="3"/>
      <c r="G24" s="3" t="s">
        <v>58</v>
      </c>
      <c r="I24" s="3">
        <f>15000*SQRT(I21*100/9.8)*0.8*9.8/100</f>
        <v>21283.68389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59</v>
      </c>
      <c r="D25" s="3">
        <f>D23*VLOOKUP(D22, G3:K8, 5,FALSE  )</f>
        <v>1140.091828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60</v>
      </c>
      <c r="D26" s="3">
        <f>D25/D18</f>
        <v>0.06544984695</v>
      </c>
      <c r="E26" s="3"/>
      <c r="F26" s="3"/>
      <c r="G26" s="7" t="s">
        <v>61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62</v>
      </c>
      <c r="D27" s="3">
        <f>D25/D4/D5</f>
        <v>0.02454369261</v>
      </c>
      <c r="E27" s="3"/>
      <c r="F27" s="3"/>
      <c r="G27" s="3" t="s">
        <v>63</v>
      </c>
      <c r="I27" s="3">
        <f>(D18-SUM(N:N)/6)*(1-D14/2/D16)*(1-D14/2/D15)</f>
        <v>4257.741758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64</v>
      </c>
      <c r="I28" s="3">
        <f>I27/(1-D26)/D18</f>
        <v>0.2615444487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65</v>
      </c>
      <c r="I29" s="3">
        <f>(I11*VLOOKUP(J11, G3:K8, 5, FALSE) + I12*VLOOKUP(J12, G3:K8, 5, FALSE) + I13*VLOOKUP(J13, G3:K8, 5, FALSE))/D16/D10</f>
        <v>0.007272205217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66</v>
      </c>
      <c r="C30" s="3">
        <v>0.2</v>
      </c>
      <c r="D30" s="3"/>
      <c r="E30" s="3"/>
      <c r="F30" s="3"/>
      <c r="G30" s="3" t="s">
        <v>67</v>
      </c>
      <c r="I30" s="3">
        <f>(I16*VLOOKUP(J16, G3:K8, 5, FALSE) + I17*VLOOKUP(J17, G3:K8, 5, FALSE)+ I18*VLOOKUP(J18, G3:K8, 5, FALSE))/D15/D10</f>
        <v>0.02181661565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68</v>
      </c>
      <c r="E31" s="3"/>
      <c r="F31" s="3"/>
      <c r="G31" s="3" t="s">
        <v>69</v>
      </c>
      <c r="I31" s="3">
        <f>I29+I30</f>
        <v>0.02908882087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70</v>
      </c>
      <c r="D32" s="3">
        <f>I24/(2*(1+C30))</f>
        <v>8868.201622</v>
      </c>
      <c r="E32" s="3"/>
      <c r="F32" s="3"/>
      <c r="G32" s="3" t="s">
        <v>71</v>
      </c>
      <c r="I32" s="3">
        <f>I28*I29*$D$12</f>
        <v>0.7815338153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72</v>
      </c>
      <c r="D33" s="3">
        <f>IF(I31*D12&gt;2.42, 2.42, I31*D12)</f>
        <v>2.42</v>
      </c>
      <c r="E33" s="3">
        <f>D12*I31</f>
        <v>11.95259649</v>
      </c>
      <c r="F33" s="3"/>
      <c r="G33" s="3" t="s">
        <v>73</v>
      </c>
      <c r="I33" s="3">
        <f>I28*I30*D12</f>
        <v>2.344601446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74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75</v>
      </c>
      <c r="I34" s="3">
        <f>(I32+I33)/2/I21</f>
        <v>0.04869369566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76</v>
      </c>
      <c r="D35" s="3">
        <f>0.0867*(D4*D5)*I21/13.8/(D4*D5)</f>
        <v>0.2016717391</v>
      </c>
      <c r="E35" s="3"/>
      <c r="F35" s="3"/>
      <c r="G35" s="3" t="s">
        <v>77</v>
      </c>
      <c r="I35" s="3">
        <f>MIN(I32, I33)/MAX(I32, I33)</f>
        <v>0.3333333333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78</v>
      </c>
      <c r="D36" s="3">
        <f>IF(1+D35&gt;1.5, 1.5, 1+D35)</f>
        <v>1.201671739</v>
      </c>
      <c r="E36" s="3">
        <f>1+D35</f>
        <v>1.201671739</v>
      </c>
      <c r="F36" s="3"/>
      <c r="G36" s="3" t="s">
        <v>79</v>
      </c>
      <c r="I36" s="3">
        <f>6.8886-(0.6069+17.275*I35)*EXP(1)^(-4.989*I35)</f>
        <v>5.681946422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80</v>
      </c>
      <c r="D37" s="3">
        <f>IF(D34*D36*SQRT(I21)&gt;0.33*SQRT(I21), 0.33*SQRT(I21), D34*D36*SQRT(I21))</f>
        <v>1.699350426</v>
      </c>
      <c r="E37" s="3"/>
      <c r="F37" s="3"/>
      <c r="G37" s="3" t="s">
        <v>81</v>
      </c>
      <c r="I37" s="3">
        <f>4.5/(5/I36*(0.9849-0.6306*EXP(1)^(-3.989*I35))-0.1)-5</f>
        <v>2.259458047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82</v>
      </c>
      <c r="D38" s="3">
        <f>0.8*D4*D5*D37</f>
        <v>63149.92825</v>
      </c>
      <c r="E38" s="3"/>
      <c r="F38" s="3"/>
      <c r="G38" s="3" t="s">
        <v>83</v>
      </c>
      <c r="I38" s="3">
        <f>1+I36*I34*(0.1+0.9/(1+I37*I34))</f>
        <v>1.251994236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84</v>
      </c>
      <c r="D39" s="3">
        <f>(I11*VLOOKUP(J11, G3:K8, 5, FALSE) + I12*VLOOKUP(J12, G3:K8, 5, FALSE) + I13*VLOOKUP(J13, G3:K8, 5, FALSE))*D12*D15/D10</f>
        <v>52051.52579</v>
      </c>
      <c r="E39" s="3"/>
      <c r="F39" s="3"/>
      <c r="G39" s="3" t="s">
        <v>0</v>
      </c>
      <c r="I39" s="3">
        <f>I21*I38</f>
        <v>40.18901499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115201.454</v>
      </c>
      <c r="E40" s="3"/>
      <c r="F40" s="3"/>
      <c r="G40" s="3" t="s">
        <v>1</v>
      </c>
      <c r="I40" s="3">
        <f>I22*(1+5*(I39/I21-1))</f>
        <v>0.004519942363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308956083.7</v>
      </c>
      <c r="E41" s="3"/>
      <c r="F41" s="3"/>
      <c r="G41" s="3" t="s">
        <v>85</v>
      </c>
      <c r="I41" s="3">
        <f>I24/(I24-I39/I40)</f>
        <v>1.717507109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0.05612970434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11.2179323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