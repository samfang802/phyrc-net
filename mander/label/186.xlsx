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QXSPJoljFSLr8gqq7O8KGPomCgS5i7WAzY0TXLkvKmY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<sst xmlns="http://schemas.openxmlformats.org/spreadsheetml/2006/main" count="109" uniqueCount="87">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</sst>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0</xdr:colOff>
      <xdr:row>20</xdr:row>
      <xdr:rowOff>0</xdr:rowOff>
    </xdr:from>
    <xdr:ext cx="5476875" cy="2400300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53.18618023</v>
      </c>
      <c r="B2" s="2">
        <f>Calculate!R3</f>
        <v>0.005959627356</v>
      </c>
      <c r="C2" s="2">
        <f>Calculate!S3</f>
        <v>22.42911744</v>
      </c>
      <c r="D2" s="2">
        <f>Calculate!T3</f>
        <v>0.04991577766</v>
      </c>
      <c r="E2" s="2">
        <f>Calculate!Q6</f>
        <v>207441.2974</v>
      </c>
      <c r="F2" s="2">
        <f>Calculate!R6</f>
        <v>298606233.3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53.18618023</v>
      </c>
      <c r="R3" s="1">
        <f>I40</f>
        <v>0.005959627356</v>
      </c>
      <c r="S3" s="1">
        <f>I43</f>
        <v>22.42911744</v>
      </c>
      <c r="T3" s="1">
        <f>I42</f>
        <v>0.04991577766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203.0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203.0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20.7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207441.2974</v>
      </c>
      <c r="R6" s="1">
        <f>D41</f>
        <v>298606233.3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20.7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77.2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12</v>
      </c>
      <c r="E11" s="3"/>
      <c r="F11" s="3"/>
      <c r="G11" s="3"/>
      <c r="H11" s="3"/>
      <c r="I11" s="9">
        <v>2.0</v>
      </c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514.7</v>
      </c>
      <c r="E12" s="3"/>
      <c r="F12" s="3"/>
      <c r="G12" s="3"/>
      <c r="H12" s="3"/>
      <c r="I12" s="13"/>
      <c r="J12" s="13" t="s">
        <v>15</v>
      </c>
      <c r="K12" s="3"/>
      <c r="L12" s="13">
        <f t="shared" ref="L12:L15" si="3">203-2*20.7-34.93</f>
        <v>126.67</v>
      </c>
      <c r="M12" s="14">
        <f t="shared" ref="M12:M15" si="4">L12-VLOOKUP($D$22, $G$3:$K$8, 4, FALSE)</f>
        <v>110.795</v>
      </c>
      <c r="N12" s="3">
        <f t="shared" ref="N12:N15" si="5">M12^2</f>
        <v>12275.53203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1.0</v>
      </c>
      <c r="E13" s="3"/>
      <c r="F13" s="3"/>
      <c r="G13" s="3"/>
      <c r="H13" s="3"/>
      <c r="I13" s="13"/>
      <c r="J13" s="13" t="s">
        <v>18</v>
      </c>
      <c r="K13" s="3"/>
      <c r="L13" s="13">
        <f t="shared" si="3"/>
        <v>126.67</v>
      </c>
      <c r="M13" s="14">
        <f t="shared" si="4"/>
        <v>110.795</v>
      </c>
      <c r="N13" s="3">
        <f t="shared" si="5"/>
        <v>12275.53203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67.675</v>
      </c>
      <c r="E14" s="3"/>
      <c r="F14" s="3"/>
      <c r="G14" s="3"/>
      <c r="H14" s="3"/>
      <c r="K14" s="3"/>
      <c r="L14" s="13">
        <f t="shared" si="3"/>
        <v>126.67</v>
      </c>
      <c r="M14" s="14">
        <f t="shared" si="4"/>
        <v>110.795</v>
      </c>
      <c r="N14" s="3">
        <f t="shared" si="5"/>
        <v>12275.53203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152.075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3">
        <f t="shared" si="3"/>
        <v>126.67</v>
      </c>
      <c r="M15" s="14">
        <f t="shared" si="4"/>
        <v>110.795</v>
      </c>
      <c r="N15" s="3">
        <f t="shared" si="5"/>
        <v>12275.53203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152.075</v>
      </c>
      <c r="E16" s="3"/>
      <c r="F16" s="3"/>
      <c r="G16" s="3"/>
      <c r="H16" s="3"/>
      <c r="I16" s="9">
        <v>2.0</v>
      </c>
      <c r="J16" s="13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71.25573925</v>
      </c>
      <c r="E17" s="3"/>
      <c r="F17" s="3"/>
      <c r="G17" s="3"/>
      <c r="H17" s="3"/>
      <c r="I17" s="13"/>
      <c r="J17" s="13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23126.80563</v>
      </c>
      <c r="E18" s="3"/>
      <c r="F18" s="3"/>
      <c r="G18" s="3"/>
      <c r="H18" s="3"/>
      <c r="I18" s="13"/>
      <c r="J18" s="13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38.1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18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573.3</v>
      </c>
      <c r="E24" s="3"/>
      <c r="F24" s="3"/>
      <c r="G24" s="3" t="s">
        <v>59</v>
      </c>
      <c r="I24" s="3">
        <f>15000*SQRT(I21*100/9.8)*0.8*9.8/100</f>
        <v>23187.65189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791.7304361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0.03423431878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0.01921256124</v>
      </c>
      <c r="E27" s="3"/>
      <c r="F27" s="3"/>
      <c r="G27" s="3" t="s">
        <v>64</v>
      </c>
      <c r="I27" s="3">
        <f>(D18-SUM(N:N)/6)*(1-D14/2/D16)*(1-D14/2/D15)</f>
        <v>9033.083842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0.4044348974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0.01213877105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0.01213877105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0.0242775421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9661.521619</v>
      </c>
      <c r="E32" s="3"/>
      <c r="F32" s="3"/>
      <c r="G32" s="3" t="s">
        <v>72</v>
      </c>
      <c r="I32" s="3">
        <f>I28*I29*$D$12</f>
        <v>2.526838649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12.49565092</v>
      </c>
      <c r="F33" s="3"/>
      <c r="G33" s="3" t="s">
        <v>74</v>
      </c>
      <c r="I33" s="3">
        <f>I28*I30*D12</f>
        <v>2.526838649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0.06632122437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0.2393673913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1.239367391</v>
      </c>
      <c r="E36" s="3">
        <f>1+D35</f>
        <v>1.239367391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1.909444916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62949.05242</v>
      </c>
      <c r="E38" s="3"/>
      <c r="F38" s="3"/>
      <c r="G38" s="3" t="s">
        <v>84</v>
      </c>
      <c r="I38" s="3">
        <f>1+I36*I34*(0.1+0.9/(1+I37*I34))</f>
        <v>1.395962736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144492.245</v>
      </c>
      <c r="E39" s="3"/>
      <c r="F39" s="3"/>
      <c r="G39" s="3" t="s">
        <v>0</v>
      </c>
      <c r="I39" s="3">
        <f>I21*I38</f>
        <v>53.18618023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207441.2974</v>
      </c>
      <c r="E40" s="3"/>
      <c r="F40" s="3"/>
      <c r="G40" s="3" t="s">
        <v>1</v>
      </c>
      <c r="I40" s="3">
        <f>I22*(1+5*(I39/I21-1))</f>
        <v>0.005959627356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298606233.3</v>
      </c>
      <c r="E41" s="3"/>
      <c r="F41" s="3"/>
      <c r="G41" s="3" t="s">
        <v>86</v>
      </c>
      <c r="I41" s="3">
        <f>I24/(I24-I39/I40)</f>
        <v>1.625693383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0.04991577766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22.42911744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