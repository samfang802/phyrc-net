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Lkrc/YgWsGCSwhjKfDJ3FoOz0t85f7aNcFb9nW+h2Oc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<sst xmlns="http://schemas.openxmlformats.org/spreadsheetml/2006/main" count="109" uniqueCount="87">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</sst>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4695825" cy="22669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38.16654842</v>
      </c>
      <c r="B2" s="2">
        <f>Calculate!R3</f>
        <v>0.003927046382</v>
      </c>
      <c r="C2" s="2">
        <f>Calculate!S3</f>
        <v>15.7992813</v>
      </c>
      <c r="D2" s="2">
        <f>Calculate!T3</f>
        <v>0.02218105423</v>
      </c>
      <c r="E2" s="2">
        <f>Calculate!Q6</f>
        <v>115736.7222</v>
      </c>
      <c r="F2" s="2">
        <f>Calculate!R6</f>
        <v>265631323.5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6</f>
        <v>6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38.16654842</v>
      </c>
      <c r="R3" s="1">
        <f>I40</f>
        <v>0.003927046382</v>
      </c>
      <c r="S3" s="1">
        <f>I43</f>
        <v>15.7992813</v>
      </c>
      <c r="T3" s="1">
        <f>I42</f>
        <v>0.02218105423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200.0</v>
      </c>
      <c r="E4" s="3"/>
      <c r="F4" s="3"/>
      <c r="G4" s="10" t="s">
        <v>15</v>
      </c>
      <c r="H4" s="6" t="s">
        <v>16</v>
      </c>
      <c r="I4" s="6">
        <f>4/8</f>
        <v>0.5</v>
      </c>
      <c r="J4" s="6">
        <f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200.0</v>
      </c>
      <c r="E5" s="3"/>
      <c r="F5" s="3"/>
      <c r="G5" s="10" t="s">
        <v>18</v>
      </c>
      <c r="H5" s="6" t="s">
        <v>19</v>
      </c>
      <c r="I5" s="6">
        <f>5/8</f>
        <v>0.625</v>
      </c>
      <c r="J5" s="6">
        <f>16</f>
        <v>16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11.0</v>
      </c>
      <c r="E6" s="3"/>
      <c r="F6" s="3"/>
      <c r="G6" s="10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115736.7222</v>
      </c>
      <c r="R6" s="1">
        <f>D41</f>
        <v>265631323.5</v>
      </c>
      <c r="S6" s="11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11.0</v>
      </c>
      <c r="E7" s="3"/>
      <c r="F7" s="3"/>
      <c r="G7" s="10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2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3"/>
      <c r="D10" s="9">
        <v>50.0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3"/>
      <c r="D11" s="9" t="s">
        <v>12</v>
      </c>
      <c r="E11" s="3"/>
      <c r="F11" s="3"/>
      <c r="G11" s="3"/>
      <c r="H11" s="3"/>
      <c r="I11" s="9">
        <v>2.0</v>
      </c>
      <c r="J11" s="9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3"/>
      <c r="D12" s="9">
        <v>316.0</v>
      </c>
      <c r="E12" s="3"/>
      <c r="F12" s="3"/>
      <c r="G12" s="3"/>
      <c r="H12" s="3"/>
      <c r="I12" s="14"/>
      <c r="J12" s="14" t="s">
        <v>15</v>
      </c>
      <c r="K12" s="3"/>
      <c r="L12" s="9">
        <v>150.0</v>
      </c>
      <c r="M12" s="15">
        <f t="shared" ref="M12:M15" si="3">L12-VLOOKUP($D$22, $G$3:$K$8, 4, FALSE)</f>
        <v>134</v>
      </c>
      <c r="N12" s="3">
        <f t="shared" ref="N12:N15" si="4">M12^2</f>
        <v>17956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3"/>
      <c r="D13" s="9">
        <v>1.0</v>
      </c>
      <c r="E13" s="3"/>
      <c r="F13" s="3"/>
      <c r="G13" s="3"/>
      <c r="H13" s="3"/>
      <c r="I13" s="14"/>
      <c r="J13" s="14" t="s">
        <v>18</v>
      </c>
      <c r="K13" s="3"/>
      <c r="L13" s="9">
        <v>150.0</v>
      </c>
      <c r="M13" s="15">
        <f t="shared" si="3"/>
        <v>134</v>
      </c>
      <c r="N13" s="3">
        <f t="shared" si="4"/>
        <v>17956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44</v>
      </c>
      <c r="E14" s="3"/>
      <c r="F14" s="3"/>
      <c r="G14" s="3"/>
      <c r="H14" s="3"/>
      <c r="K14" s="3"/>
      <c r="L14" s="9">
        <v>150.0</v>
      </c>
      <c r="M14" s="15">
        <f t="shared" si="3"/>
        <v>134</v>
      </c>
      <c r="N14" s="3">
        <f t="shared" si="4"/>
        <v>17956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6">
        <f>D4-2*D7-VLOOKUP(D11, G3:K8, 4,FALSE )</f>
        <v>172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150.0</v>
      </c>
      <c r="M15" s="15">
        <f t="shared" si="3"/>
        <v>134</v>
      </c>
      <c r="N15" s="3">
        <f t="shared" si="4"/>
        <v>17956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6">
        <f>D5-2*D6-VLOOKUP(D11, G3:K8, 4,FALSE )</f>
        <v>172</v>
      </c>
      <c r="E16" s="3"/>
      <c r="F16" s="3"/>
      <c r="G16" s="3"/>
      <c r="H16" s="3"/>
      <c r="I16" s="9">
        <v>2.0</v>
      </c>
      <c r="J16" s="9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28.27433388</v>
      </c>
      <c r="E17" s="3"/>
      <c r="F17" s="3"/>
      <c r="G17" s="3"/>
      <c r="H17" s="3"/>
      <c r="I17" s="14"/>
      <c r="J17" s="14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29584</v>
      </c>
      <c r="E18" s="3"/>
      <c r="F18" s="3"/>
      <c r="G18" s="3"/>
      <c r="H18" s="3"/>
      <c r="I18" s="14"/>
      <c r="J18" s="14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32.0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3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3"/>
      <c r="D24" s="9">
        <v>369.0</v>
      </c>
      <c r="E24" s="3"/>
      <c r="F24" s="3"/>
      <c r="G24" s="3" t="s">
        <v>59</v>
      </c>
      <c r="I24" s="3">
        <f>15000*SQRT(I21*100/9.8)*0.8*9.8/100</f>
        <v>21250.50588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804.2477193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0.02718522577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0.02010619298</v>
      </c>
      <c r="E27" s="3"/>
      <c r="F27" s="3"/>
      <c r="G27" s="3" t="s">
        <v>64</v>
      </c>
      <c r="I27" s="3">
        <f>(D18-SUM(N:N)/6)*(1-D14/2/D16)*(1-D14/2/D15)</f>
        <v>13395.75446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0.4654576013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0.006575426484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0.006575426484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0.01315085297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8854.377448</v>
      </c>
      <c r="E32" s="3"/>
      <c r="F32" s="3"/>
      <c r="G32" s="3" t="s">
        <v>72</v>
      </c>
      <c r="I32" s="3">
        <f>I28*I29*$D$12</f>
        <v>0.9671439874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4.155669538</v>
      </c>
      <c r="F33" s="3"/>
      <c r="G33" s="3" t="s">
        <v>74</v>
      </c>
      <c r="I33" s="3">
        <f>I28*I30*D12</f>
        <v>0.9671439874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0.03022324961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0.2010434783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1.201043478</v>
      </c>
      <c r="E36" s="3">
        <f>1+D35</f>
        <v>1.201043478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1.695814325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54266.05839</v>
      </c>
      <c r="E38" s="3"/>
      <c r="F38" s="3"/>
      <c r="G38" s="3" t="s">
        <v>84</v>
      </c>
      <c r="I38" s="3">
        <f>1+I36*I34*(0.1+0.9/(1+I37*I34))</f>
        <v>1.192704638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61470.66381</v>
      </c>
      <c r="E39" s="3"/>
      <c r="F39" s="3"/>
      <c r="G39" s="3" t="s">
        <v>0</v>
      </c>
      <c r="I39" s="3">
        <f>I21*I38</f>
        <v>38.16654842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115736.7222</v>
      </c>
      <c r="E40" s="3"/>
      <c r="F40" s="3"/>
      <c r="G40" s="3" t="s">
        <v>1</v>
      </c>
      <c r="I40" s="3">
        <f>I22*(1+5*(I39/I21-1))</f>
        <v>0.003927046382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265631323.5</v>
      </c>
      <c r="E41" s="3"/>
      <c r="F41" s="3"/>
      <c r="G41" s="3" t="s">
        <v>86</v>
      </c>
      <c r="I41" s="3">
        <f>I24/(I24-I39/I40)</f>
        <v>1.842804504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0.02218105423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15.7992813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