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xFl2Qqr9eyRIcff7qdi5DxWyqpbzDxsWtpF4pQGPL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<sst xmlns="http://schemas.openxmlformats.org/spreadsheetml/2006/main" count="109" uniqueCount="87">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</sst>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5476875" cy="24003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83.55109654</v>
      </c>
      <c r="B2" s="2">
        <f>Calculate!R3</f>
        <v>0.004323170582</v>
      </c>
      <c r="C2" s="2">
        <f>Calculate!S3</f>
        <v>8.851167329</v>
      </c>
      <c r="D2" s="2">
        <f>Calculate!T3</f>
        <v>0.02981393923</v>
      </c>
      <c r="E2" s="2">
        <f>Calculate!Q6</f>
        <v>228181.346</v>
      </c>
      <c r="F2" s="2">
        <f>Calculate!R6</f>
        <v>398337532.1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83.55109654</v>
      </c>
      <c r="R3" s="1">
        <f>I40</f>
        <v>0.004323170582</v>
      </c>
      <c r="S3" s="1">
        <f>I43</f>
        <v>8.851167329</v>
      </c>
      <c r="T3" s="1">
        <f>I42</f>
        <v>0.02981393923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17.4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228181.346</v>
      </c>
      <c r="R6" s="1">
        <f>D41</f>
        <v>398337532.1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23.8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77.2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514.7</v>
      </c>
      <c r="E12" s="3"/>
      <c r="F12" s="3"/>
      <c r="G12" s="3"/>
      <c r="H12" s="3"/>
      <c r="I12" s="13"/>
      <c r="J12" s="13" t="s">
        <v>15</v>
      </c>
      <c r="K12" s="3"/>
      <c r="L12" s="13">
        <f>203-2*17.4-34.93</f>
        <v>133.27</v>
      </c>
      <c r="M12" s="14">
        <f t="shared" ref="M12:M15" si="3">L12-VLOOKUP($D$22, $G$3:$K$8, 4, FALSE)</f>
        <v>117.395</v>
      </c>
      <c r="N12" s="3">
        <f t="shared" ref="N12:N15" si="4">M12^2</f>
        <v>13781.58603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203-2*23.8-34.93</f>
        <v>120.47</v>
      </c>
      <c r="M13" s="14">
        <f t="shared" si="3"/>
        <v>104.595</v>
      </c>
      <c r="N13" s="3">
        <f t="shared" si="4"/>
        <v>10940.11403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67.675</v>
      </c>
      <c r="E14" s="3"/>
      <c r="F14" s="3"/>
      <c r="G14" s="3"/>
      <c r="H14" s="3"/>
      <c r="K14" s="3"/>
      <c r="L14" s="13">
        <f>203-17.4*2-34.93</f>
        <v>133.27</v>
      </c>
      <c r="M14" s="14">
        <f t="shared" si="3"/>
        <v>117.395</v>
      </c>
      <c r="N14" s="3">
        <f t="shared" si="4"/>
        <v>13781.58603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145.875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203-2*23.8-34.93</f>
        <v>120.47</v>
      </c>
      <c r="M15" s="14">
        <f t="shared" si="3"/>
        <v>104.595</v>
      </c>
      <c r="N15" s="3">
        <f t="shared" si="4"/>
        <v>10940.11403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158.675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23146.71563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67.8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573.3</v>
      </c>
      <c r="E24" s="3"/>
      <c r="F24" s="3"/>
      <c r="G24" s="3" t="s">
        <v>59</v>
      </c>
      <c r="I24" s="3">
        <f>15000*SQRT(I21*100/9.8)*0.8*9.8/100</f>
        <v>30932.08043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0.03420487161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9007.091044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0.4029119665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0.0116338655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0.01265469482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0.02428856032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12888.36685</v>
      </c>
      <c r="E32" s="3"/>
      <c r="F32" s="3"/>
      <c r="G32" s="3" t="s">
        <v>72</v>
      </c>
      <c r="I32" s="3">
        <f>I28*I29*$D$12</f>
        <v>2.41261694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12.501322</v>
      </c>
      <c r="F33" s="3"/>
      <c r="G33" s="3" t="s">
        <v>74</v>
      </c>
      <c r="I33" s="3">
        <f>I28*I30*D12</f>
        <v>2.62431529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0.03714551792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0.4259608696</v>
      </c>
      <c r="E35" s="3"/>
      <c r="F35" s="3"/>
      <c r="G35" s="3" t="s">
        <v>78</v>
      </c>
      <c r="I35" s="3">
        <f>MIN(I32, I33)/MAX(I32, I33)</f>
        <v>0.9193319679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1.42596087</v>
      </c>
      <c r="E36" s="3">
        <f>1+D35</f>
        <v>1.42596087</v>
      </c>
      <c r="F36" s="3"/>
      <c r="G36" s="3" t="s">
        <v>80</v>
      </c>
      <c r="I36" s="3">
        <f>6.8886-(0.6069+17.275*I35)*EXP(1)^(-4.989*I35)</f>
        <v>6.720617005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2.717244928</v>
      </c>
      <c r="E37" s="3"/>
      <c r="F37" s="3"/>
      <c r="G37" s="3" t="s">
        <v>82</v>
      </c>
      <c r="I37" s="3">
        <f>4.5/(5/I36*(0.9849-0.6306*EXP(1)^(-3.989*I35))-0.1)-5</f>
        <v>2.249184036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89579.957</v>
      </c>
      <c r="E38" s="3"/>
      <c r="F38" s="3"/>
      <c r="G38" s="3" t="s">
        <v>84</v>
      </c>
      <c r="I38" s="3">
        <f>1+I36*I34*(0.1+0.9/(1+I37*I34))</f>
        <v>1.232317058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138601.389</v>
      </c>
      <c r="E39" s="3"/>
      <c r="F39" s="3"/>
      <c r="G39" s="3" t="s">
        <v>0</v>
      </c>
      <c r="I39" s="3">
        <f>I21*I38</f>
        <v>83.55109654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228181.346</v>
      </c>
      <c r="E40" s="3"/>
      <c r="F40" s="3"/>
      <c r="G40" s="3" t="s">
        <v>1</v>
      </c>
      <c r="I40" s="3">
        <f>I22*(1+5*(I39/I21-1))</f>
        <v>0.004323170582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398337532.1</v>
      </c>
      <c r="E41" s="3"/>
      <c r="F41" s="3"/>
      <c r="G41" s="3" t="s">
        <v>86</v>
      </c>
      <c r="I41" s="3">
        <f>I24/(I24-I39/I40)</f>
        <v>2.665241424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0.02981393923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8.851167329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