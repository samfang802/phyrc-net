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Z34icGzrAbzBrt9qm7pdm0xQfmSj/QJYVqvdKBhqAcw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<sst xmlns="http://schemas.openxmlformats.org/spreadsheetml/2006/main" count="109" uniqueCount="87">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</sst>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5543550" cy="64008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40.72703344</v>
      </c>
      <c r="B2" s="2">
        <f>Calculate!R3</f>
        <v>0.004157323414</v>
      </c>
      <c r="C2" s="2">
        <f>Calculate!S3</f>
        <v>9.112139211</v>
      </c>
      <c r="D2" s="2">
        <f>Calculate!T3</f>
        <v>0.05305682905</v>
      </c>
      <c r="E2" s="2">
        <f>Calculate!Q6</f>
        <v>246461.0459</v>
      </c>
      <c r="F2" s="2">
        <f>Calculate!R6</f>
        <v>314999697.2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40.72703344</v>
      </c>
      <c r="R3" s="1">
        <f>I40</f>
        <v>0.004157323414</v>
      </c>
      <c r="S3" s="1">
        <f>I43</f>
        <v>9.112139211</v>
      </c>
      <c r="T3" s="1">
        <f>I42</f>
        <v>0.05305682905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152.0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246461.0459</v>
      </c>
      <c r="R6" s="1">
        <f>D41</f>
        <v>314999697.2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19.1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64.0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317.0</v>
      </c>
      <c r="E12" s="3"/>
      <c r="F12" s="3"/>
      <c r="G12" s="3"/>
      <c r="H12" s="3"/>
      <c r="I12" s="13"/>
      <c r="J12" s="13" t="s">
        <v>15</v>
      </c>
      <c r="K12" s="3"/>
      <c r="L12" s="13">
        <f>3*25.4</f>
        <v>76.2</v>
      </c>
      <c r="M12" s="14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8*25.4</f>
        <v>203.2</v>
      </c>
      <c r="M13" s="14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54.475</v>
      </c>
      <c r="E14" s="3"/>
      <c r="F14" s="3"/>
      <c r="G14" s="3"/>
      <c r="H14" s="3"/>
      <c r="K14" s="3"/>
      <c r="L14" s="13">
        <f>3*25.4</f>
        <v>76.2</v>
      </c>
      <c r="M14" s="14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257.275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8*25.4</f>
        <v>203.2</v>
      </c>
      <c r="M15" s="14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78.475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20189.65563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33.5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496.0</v>
      </c>
      <c r="E24" s="3"/>
      <c r="F24" s="3"/>
      <c r="G24" s="3" t="s">
        <v>59</v>
      </c>
      <c r="I24" s="3">
        <f>15000*SQRT(I21*100/9.8)*0.8*9.8/100</f>
        <v>21742.8609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0.05646910721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4551.942207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0.238952569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0.02837517492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0.008655103883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0.0370302788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9059.525374</v>
      </c>
      <c r="E32" s="3"/>
      <c r="F32" s="3"/>
      <c r="G32" s="3" t="s">
        <v>72</v>
      </c>
      <c r="I32" s="3">
        <f>I28*I29*$D$12</f>
        <v>2.149361738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11.73859838</v>
      </c>
      <c r="F33" s="3"/>
      <c r="G33" s="3" t="s">
        <v>74</v>
      </c>
      <c r="I33" s="3">
        <f>I28*I30*D12</f>
        <v>0.6556065005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0.04186519759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0.2104673913</v>
      </c>
      <c r="E35" s="3"/>
      <c r="F35" s="3"/>
      <c r="G35" s="3" t="s">
        <v>78</v>
      </c>
      <c r="I35" s="3">
        <f>MIN(I32, I33)/MAX(I32, I33)</f>
        <v>0.3050238072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1.210467391</v>
      </c>
      <c r="E36" s="3">
        <f>1+D35</f>
        <v>1.210467391</v>
      </c>
      <c r="F36" s="3"/>
      <c r="G36" s="3" t="s">
        <v>80</v>
      </c>
      <c r="I36" s="3">
        <f>6.8886-(0.6069+17.275*I35)*EXP(1)^(-4.989*I35)</f>
        <v>5.605673003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1.748719203</v>
      </c>
      <c r="E37" s="3"/>
      <c r="F37" s="3"/>
      <c r="G37" s="3" t="s">
        <v>82</v>
      </c>
      <c r="I37" s="3">
        <f>4.5/(5/I36*(0.9849-0.6306*EXP(1)^(-3.989*I35))-0.1)-5</f>
        <v>2.354312033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64856.49779</v>
      </c>
      <c r="E38" s="3"/>
      <c r="F38" s="3"/>
      <c r="G38" s="3" t="s">
        <v>84</v>
      </c>
      <c r="I38" s="3">
        <f>1+I36*I34*(0.1+0.9/(1+I37*I34))</f>
        <v>1.215732341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181604.5481</v>
      </c>
      <c r="E39" s="3"/>
      <c r="F39" s="3"/>
      <c r="G39" s="3" t="s">
        <v>0</v>
      </c>
      <c r="I39" s="3">
        <f>I21*I38</f>
        <v>40.72703344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246461.0459</v>
      </c>
      <c r="E40" s="3"/>
      <c r="F40" s="3"/>
      <c r="G40" s="3" t="s">
        <v>1</v>
      </c>
      <c r="I40" s="3">
        <f>I22*(1+5*(I39/I21-1))</f>
        <v>0.004157323414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314999697.2</v>
      </c>
      <c r="E41" s="3"/>
      <c r="F41" s="3"/>
      <c r="G41" s="3" t="s">
        <v>86</v>
      </c>
      <c r="I41" s="3">
        <f>I24/(I24-I39/I40)</f>
        <v>1.820033726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0.05305682905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9.112139211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