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SLurUCpCm0uw0KB/GrdBZkVqiSym+H5lDg6bpsRrXcI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<sst xmlns="http://schemas.openxmlformats.org/spreadsheetml/2006/main" count="109" uniqueCount="87">
  <si>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</si>
  <si>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</si>
  <si>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</si>
  <si>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</si>
  <si>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</si>
  <si>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</si>
  <si>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</si>
  <si>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</si>
  <si>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</si>
  <si>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</si>
  <si>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</si>
  <si>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</si>
  <si>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10mm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</si>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</sst>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2838450" cy="23717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41.47896907</v>
      </c>
      <c r="B2" s="2">
        <f>Calculate!R3</f>
        <v>0.006656879531</v>
      </c>
      <c r="C2" s="2">
        <f>Calculate!S3</f>
        <v>26.42020481</v>
      </c>
      <c r="D2" s="2">
        <f>Calculate!T3</f>
        <v>0.03801105783</v>
      </c>
      <c r="E2" s="2">
        <f>Calculate!Q6</f>
        <v>655640.1223</v>
      </c>
      <c r="F2" s="2">
        <f>Calculate!R6</f>
        <v>999211689.3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10.0</v>
      </c>
      <c r="K3" s="1">
        <f t="shared" ref="K3:K8" si="1">PI()*J3^2/4</f>
        <v>78.53981634</v>
      </c>
      <c r="L3" s="3"/>
      <c r="M3" s="3"/>
      <c r="N3" s="3"/>
      <c r="O3" s="3"/>
      <c r="P3" s="3"/>
      <c r="Q3" s="1">
        <f>I39</f>
        <v>41.47896907</v>
      </c>
      <c r="R3" s="1">
        <f>I40</f>
        <v>0.006656879531</v>
      </c>
      <c r="S3" s="1">
        <f>I43</f>
        <v>26.42020481</v>
      </c>
      <c r="T3" s="1">
        <f>I42</f>
        <v>0.03801105783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400.0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400.0</v>
      </c>
      <c r="E5" s="3"/>
      <c r="F5" s="3"/>
      <c r="G5" s="11" t="s">
        <v>18</v>
      </c>
      <c r="H5" s="6" t="s">
        <v>19</v>
      </c>
      <c r="I5" s="6">
        <f>5/8</f>
        <v>0.625</v>
      </c>
      <c r="J5" s="9">
        <v>16.0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655640.1223</v>
      </c>
      <c r="R6" s="1">
        <f>D41</f>
        <v>999211689.3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117.0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466.0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23" si="3">338/3</f>
        <v>112.6666667</v>
      </c>
      <c r="M12" s="16">
        <f t="shared" ref="M12:M23" si="4">L12-VLOOKUP($D$22, $G$3:$K$8, 4, FALSE)</f>
        <v>96.66666667</v>
      </c>
      <c r="N12" s="3">
        <f t="shared" ref="N12:N23" si="5">M12^2</f>
        <v>9344.444444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112.6666667</v>
      </c>
      <c r="M13" s="16">
        <f t="shared" si="4"/>
        <v>96.66666667</v>
      </c>
      <c r="N13" s="3">
        <f t="shared" si="5"/>
        <v>9344.444444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97</v>
      </c>
      <c r="E14" s="3"/>
      <c r="F14" s="3"/>
      <c r="G14" s="3"/>
      <c r="H14" s="3"/>
      <c r="K14" s="3"/>
      <c r="L14" s="15">
        <f t="shared" si="3"/>
        <v>112.6666667</v>
      </c>
      <c r="M14" s="16">
        <f t="shared" si="4"/>
        <v>96.66666667</v>
      </c>
      <c r="N14" s="3">
        <f t="shared" si="5"/>
        <v>9344.444444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364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112.6666667</v>
      </c>
      <c r="M15" s="16">
        <f t="shared" si="4"/>
        <v>96.66666667</v>
      </c>
      <c r="N15" s="3">
        <f t="shared" si="5"/>
        <v>9344.444444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364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112.6666667</v>
      </c>
      <c r="M16" s="16">
        <f t="shared" si="4"/>
        <v>96.66666667</v>
      </c>
      <c r="N16" s="3">
        <f t="shared" si="5"/>
        <v>9344.444444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157.0796327</v>
      </c>
      <c r="E17" s="3"/>
      <c r="F17" s="3"/>
      <c r="G17" s="3"/>
      <c r="H17" s="3"/>
      <c r="I17" s="15"/>
      <c r="J17" s="15" t="s">
        <v>15</v>
      </c>
      <c r="K17" s="3"/>
      <c r="L17" s="15">
        <f t="shared" si="3"/>
        <v>112.6666667</v>
      </c>
      <c r="M17" s="16">
        <f t="shared" si="4"/>
        <v>96.66666667</v>
      </c>
      <c r="N17" s="3">
        <f t="shared" si="5"/>
        <v>9344.444444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132496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112.6666667</v>
      </c>
      <c r="M18" s="16">
        <f t="shared" si="4"/>
        <v>96.66666667</v>
      </c>
      <c r="N18" s="3">
        <f t="shared" si="5"/>
        <v>9344.444444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112.6666667</v>
      </c>
      <c r="M19" s="16">
        <f t="shared" si="4"/>
        <v>96.66666667</v>
      </c>
      <c r="N19" s="3">
        <f t="shared" si="5"/>
        <v>9344.444444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112.6666667</v>
      </c>
      <c r="M20" s="16">
        <f t="shared" si="4"/>
        <v>96.66666667</v>
      </c>
      <c r="N20" s="3">
        <f t="shared" si="5"/>
        <v>9344.444444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28.3</v>
      </c>
      <c r="J21" s="3"/>
      <c r="K21" s="3"/>
      <c r="L21" s="15">
        <f t="shared" si="3"/>
        <v>112.6666667</v>
      </c>
      <c r="M21" s="16">
        <f t="shared" si="4"/>
        <v>96.66666667</v>
      </c>
      <c r="N21" s="3">
        <f t="shared" si="5"/>
        <v>9344.444444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112.6666667</v>
      </c>
      <c r="M22" s="16">
        <f t="shared" si="4"/>
        <v>96.66666667</v>
      </c>
      <c r="N22" s="3">
        <f t="shared" si="5"/>
        <v>9344.444444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112.6666667</v>
      </c>
      <c r="M23" s="16">
        <f t="shared" si="4"/>
        <v>96.66666667</v>
      </c>
      <c r="N23" s="3">
        <f t="shared" si="5"/>
        <v>9344.444444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440.0</v>
      </c>
      <c r="E24" s="3"/>
      <c r="F24" s="3"/>
      <c r="G24" s="3" t="s">
        <v>59</v>
      </c>
      <c r="I24" s="3">
        <f>15000*SQRT(I21*100/9.8)*0.8*9.8/100</f>
        <v>19984.23379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0.01820993206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85499.85125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0.6572702232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0.007376708588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0.007376708588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0.01475341718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8326.764077</v>
      </c>
      <c r="E32" s="3"/>
      <c r="F32" s="3"/>
      <c r="G32" s="3" t="s">
        <v>72</v>
      </c>
      <c r="I32" s="3">
        <f>I28*I29*$D$12</f>
        <v>2.259396759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6.875092404</v>
      </c>
      <c r="F33" s="3"/>
      <c r="G33" s="3" t="s">
        <v>74</v>
      </c>
      <c r="I33" s="3">
        <f>I28*I30*D12</f>
        <v>2.259396759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0.07983734132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0.1777978261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1.177797826</v>
      </c>
      <c r="E36" s="3">
        <f>1+D35</f>
        <v>1.177797826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1.563898443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200179.0007</v>
      </c>
      <c r="E38" s="3"/>
      <c r="F38" s="3"/>
      <c r="G38" s="3" t="s">
        <v>84</v>
      </c>
      <c r="I38" s="3">
        <f>1+I36*I34*(0.1+0.9/(1+I37*I34))</f>
        <v>1.465687953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455461.1216</v>
      </c>
      <c r="E39" s="3"/>
      <c r="F39" s="3"/>
      <c r="G39" s="3" t="s">
        <v>0</v>
      </c>
      <c r="I39" s="3">
        <f>I21*I38</f>
        <v>41.47896907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655640.1223</v>
      </c>
      <c r="E40" s="3"/>
      <c r="F40" s="3"/>
      <c r="G40" s="3" t="s">
        <v>1</v>
      </c>
      <c r="I40" s="3">
        <f>I22*(1+5*(I39/I21-1))</f>
        <v>0.006656879531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999211689.3</v>
      </c>
      <c r="E41" s="3"/>
      <c r="F41" s="3"/>
      <c r="G41" s="3" t="s">
        <v>86</v>
      </c>
      <c r="I41" s="3">
        <f>I24/(I24-I39/I40)</f>
        <v>1.453056334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0.03801105783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26.42020481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