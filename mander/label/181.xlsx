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W7arahfqH1QX1qQNhIvI5A2rDfbJ77InvT0H+DBp+c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<sst xmlns="http://schemas.openxmlformats.org/spreadsheetml/2006/main" count="109" uniqueCount="87">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</sst>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52.8206921</v>
      </c>
      <c r="B2" s="2">
        <f>Calculate!R3</f>
        <v>0.005936858073</v>
      </c>
      <c r="C2" s="2">
        <f>Calculate!S3</f>
        <v>22.21730207</v>
      </c>
      <c r="D2" s="2">
        <f>Calculate!T3</f>
        <v>0.04999861327</v>
      </c>
      <c r="E2" s="2">
        <f>Calculate!Q6</f>
        <v>202483.1523</v>
      </c>
      <c r="F2" s="2">
        <f>Calculate!R6</f>
        <v>297821458.7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52.8206921</v>
      </c>
      <c r="R3" s="1">
        <f>I40</f>
        <v>0.005936858073</v>
      </c>
      <c r="S3" s="1">
        <f>I43</f>
        <v>22.21730207</v>
      </c>
      <c r="T3" s="1">
        <f>I42</f>
        <v>0.04999861327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14.6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202483.1523</v>
      </c>
      <c r="R6" s="1">
        <f>D41</f>
        <v>297821458.7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24.0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513.7</v>
      </c>
      <c r="E12" s="3"/>
      <c r="F12" s="3"/>
      <c r="G12" s="3"/>
      <c r="H12" s="3"/>
      <c r="I12" s="13"/>
      <c r="J12" s="13" t="s">
        <v>15</v>
      </c>
      <c r="K12" s="3"/>
      <c r="L12" s="13">
        <f>203-2*14.6-34.93</f>
        <v>138.87</v>
      </c>
      <c r="M12" s="14">
        <f t="shared" ref="M12:M15" si="3">L12-VLOOKUP($D$22, $G$3:$K$8, 4, FALSE)</f>
        <v>122.995</v>
      </c>
      <c r="N12" s="3">
        <f t="shared" ref="N12:N15" si="4">M12^2</f>
        <v>15127.77003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203-2*24-34.93</f>
        <v>120.07</v>
      </c>
      <c r="M13" s="14">
        <f t="shared" si="3"/>
        <v>104.195</v>
      </c>
      <c r="N13" s="3">
        <f t="shared" si="4"/>
        <v>10856.59803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203-2*14.6-34.93</f>
        <v>138.87</v>
      </c>
      <c r="M14" s="14">
        <f t="shared" si="3"/>
        <v>122.995</v>
      </c>
      <c r="N14" s="3">
        <f t="shared" si="4"/>
        <v>15127.77003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145.475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203-2*24-34.93</f>
        <v>120.07</v>
      </c>
      <c r="M15" s="14">
        <f t="shared" si="3"/>
        <v>104.195</v>
      </c>
      <c r="N15" s="3">
        <f t="shared" si="4"/>
        <v>10856.59803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164.275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23897.90563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37.9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572.3</v>
      </c>
      <c r="E24" s="3"/>
      <c r="F24" s="3"/>
      <c r="G24" s="3" t="s">
        <v>59</v>
      </c>
      <c r="I24" s="3">
        <f>15000*SQRT(I21*100/9.8)*0.8*9.8/100</f>
        <v>23126.71183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0.03312969967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9361.357963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0.4051452863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0.01138474738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0.01285601909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0.02424076647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9636.129929</v>
      </c>
      <c r="E32" s="3"/>
      <c r="F32" s="3"/>
      <c r="G32" s="3" t="s">
        <v>72</v>
      </c>
      <c r="I32" s="3">
        <f>I28*I29*$D$12</f>
        <v>2.369429301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12.45248174</v>
      </c>
      <c r="F33" s="3"/>
      <c r="G33" s="3" t="s">
        <v>74</v>
      </c>
      <c r="I33" s="3">
        <f>I28*I30*D12</f>
        <v>2.675634978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0.06655757623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0.2381108696</v>
      </c>
      <c r="E35" s="3"/>
      <c r="F35" s="3"/>
      <c r="G35" s="3" t="s">
        <v>78</v>
      </c>
      <c r="I35" s="3">
        <f>MIN(I32, I33)/MAX(I32, I33)</f>
        <v>0.8855577538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1.23811087</v>
      </c>
      <c r="E36" s="3">
        <f>1+D35</f>
        <v>1.23811087</v>
      </c>
      <c r="F36" s="3"/>
      <c r="G36" s="3" t="s">
        <v>80</v>
      </c>
      <c r="I36" s="3">
        <f>6.8886-(0.6069+17.275*I35)*EXP(1)^(-4.989*I35)</f>
        <v>6.696822562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1.902495869</v>
      </c>
      <c r="E37" s="3"/>
      <c r="F37" s="3"/>
      <c r="G37" s="3" t="s">
        <v>82</v>
      </c>
      <c r="I37" s="3">
        <f>4.5/(5/I36*(0.9849-0.6306*EXP(1)^(-3.989*I35))-0.1)-5</f>
        <v>2.239548823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62719.9618</v>
      </c>
      <c r="E38" s="3"/>
      <c r="F38" s="3"/>
      <c r="G38" s="3" t="s">
        <v>84</v>
      </c>
      <c r="I38" s="3">
        <f>1+I36*I34*(0.1+0.9/(1+I37*I34))</f>
        <v>1.393685807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139763.1905</v>
      </c>
      <c r="E39" s="3"/>
      <c r="F39" s="3"/>
      <c r="G39" s="3" t="s">
        <v>0</v>
      </c>
      <c r="I39" s="3">
        <f>I21*I38</f>
        <v>52.8206921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202483.1523</v>
      </c>
      <c r="E40" s="3"/>
      <c r="F40" s="3"/>
      <c r="G40" s="3" t="s">
        <v>1</v>
      </c>
      <c r="I40" s="3">
        <f>I22*(1+5*(I39/I21-1))</f>
        <v>0.005936858073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297821458.7</v>
      </c>
      <c r="E41" s="3"/>
      <c r="F41" s="3"/>
      <c r="G41" s="3" t="s">
        <v>86</v>
      </c>
      <c r="I41" s="3">
        <f>I24/(I24-I39/I40)</f>
        <v>1.625250014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0.04999861327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22.21730207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