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083BA900-7B51-4284-B5EB-06BD47738D1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RXnOYu3ArqMCcMYLn5fHUPrLD9iSP57vBbQzIjoqxs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7" i="2"/>
  <c r="D16" i="2"/>
  <c r="M15" i="2"/>
  <c r="N15" i="2" s="1"/>
  <c r="D15" i="2"/>
  <c r="D18" i="2" s="1"/>
  <c r="D14" i="2"/>
  <c r="I8" i="2"/>
  <c r="J8" i="2" s="1"/>
  <c r="K8" i="2" s="1"/>
  <c r="J7" i="2"/>
  <c r="K7" i="2" s="1"/>
  <c r="I7" i="2"/>
  <c r="J6" i="2"/>
  <c r="K6" i="2" s="1"/>
  <c r="I6" i="2"/>
  <c r="I5" i="2"/>
  <c r="J5" i="2" s="1"/>
  <c r="K5" i="2" s="1"/>
  <c r="I4" i="2"/>
  <c r="J4" i="2" s="1"/>
  <c r="K3" i="2"/>
  <c r="I3" i="2"/>
  <c r="K4" i="2" l="1"/>
  <c r="I29" i="2"/>
  <c r="M12" i="2"/>
  <c r="N12" i="2" s="1"/>
  <c r="M14" i="2"/>
  <c r="N14" i="2" s="1"/>
  <c r="M13" i="2"/>
  <c r="N13" i="2" s="1"/>
  <c r="D39" i="2"/>
  <c r="I27" i="2" l="1"/>
  <c r="D25" i="2"/>
  <c r="I30" i="2"/>
  <c r="I31" i="2" s="1"/>
  <c r="I42" i="2" l="1"/>
  <c r="T3" i="2" s="1"/>
  <c r="D2" i="1" s="1"/>
  <c r="E33" i="2"/>
  <c r="D33" i="2"/>
  <c r="D27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<sst xmlns="http://schemas.openxmlformats.org/spreadsheetml/2006/main" count="109" uniqueCount="86">
  <si>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</si>
  <si>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</si>
  <si>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</si>
  <si>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</si>
  <si>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</si>
  <si>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</si>
  <si>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</si>
  <si>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</si>
  <si>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</si>
  <si>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</si>
  <si>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</si>
  <si>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</si>
  <si>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7mm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</si>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</sst>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6781800" cy="280035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113.98601550600957</v>
      </c>
      <c r="B2" s="2">
        <f>Calculate!R3</f>
        <v>3.4558809553778464E-3</v>
      </c>
      <c r="C2" s="2">
        <f>Calculate!S3</f>
        <v>2.5726262585213698E-3</v>
      </c>
      <c r="D2" s="2">
        <f>Calculate!T3</f>
        <v>1.9784266607106509E-2</v>
      </c>
      <c r="E2" s="2">
        <f>Calculate!Q6</f>
        <v>380064.32024214882</v>
      </c>
      <c r="F2" s="2">
        <f>Calculate!R6</f>
        <v>731873232.01110125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23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7/25.4</f>
        <v>0.27559055118110237</v>
      </c>
      <c r="J3" s="7">
        <v>7</v>
      </c>
      <c r="K3" s="1">
        <f t="shared" ref="K3:K8" si="0">PI()*J3^2/4</f>
        <v>38.484510006474963</v>
      </c>
      <c r="L3" s="3"/>
      <c r="M3" s="3"/>
      <c r="N3" s="3"/>
      <c r="O3" s="3"/>
      <c r="P3" s="3"/>
      <c r="Q3" s="1">
        <f>I39</f>
        <v>113.98601550600957</v>
      </c>
      <c r="R3" s="1">
        <f>I40</f>
        <v>3.4558809553778464E-3</v>
      </c>
      <c r="S3" s="1">
        <f>I43</f>
        <v>2.5726262585213698E-3</v>
      </c>
      <c r="T3" s="1">
        <f>I42</f>
        <v>1.9784266607106509E-2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250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250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23.5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380064.32024214882</v>
      </c>
      <c r="R6" s="1">
        <f>D41</f>
        <v>731873232.01110125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23.5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60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857</v>
      </c>
      <c r="E12" s="3"/>
      <c r="F12" s="3"/>
      <c r="G12" s="3"/>
      <c r="H12" s="3"/>
      <c r="I12" s="12"/>
      <c r="J12" s="12" t="s">
        <v>14</v>
      </c>
      <c r="K12" s="3"/>
      <c r="L12" s="12">
        <v>180.3</v>
      </c>
      <c r="M12" s="13">
        <f t="shared" ref="M12:M23" si="2">L12-VLOOKUP($D$22, $G$3:$K$8, 4, FALSE)</f>
        <v>167.60000000000002</v>
      </c>
      <c r="N12" s="3">
        <f t="shared" ref="N12:N23" si="3">M12^2</f>
        <v>28089.760000000009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180.3</v>
      </c>
      <c r="M13" s="13">
        <f t="shared" si="2"/>
        <v>167.60000000000002</v>
      </c>
      <c r="N13" s="3">
        <f t="shared" si="3"/>
        <v>28089.760000000009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53</v>
      </c>
      <c r="E14" s="3"/>
      <c r="F14" s="3"/>
      <c r="G14" s="3"/>
      <c r="H14" s="3"/>
      <c r="K14" s="3"/>
      <c r="L14" s="12">
        <v>180.3</v>
      </c>
      <c r="M14" s="13">
        <f t="shared" si="2"/>
        <v>167.60000000000002</v>
      </c>
      <c r="N14" s="3">
        <f t="shared" si="3"/>
        <v>28089.760000000009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196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180.3</v>
      </c>
      <c r="M15" s="13">
        <f t="shared" si="2"/>
        <v>167.60000000000002</v>
      </c>
      <c r="N15" s="3">
        <f t="shared" si="3"/>
        <v>28089.760000000009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196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38.484510006474963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38416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12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99.5</v>
      </c>
      <c r="J21" s="3"/>
      <c r="K21" s="3"/>
      <c r="L21" s="12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12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12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12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379</v>
      </c>
      <c r="E24" s="3"/>
      <c r="F24" s="3"/>
      <c r="G24" s="15" t="s">
        <v>58</v>
      </c>
      <c r="H24" s="16"/>
      <c r="I24" s="3">
        <f>15000*SQRT(I21*100/9.8)*0.8*9.8/100</f>
        <v>37471.90947896838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1520.122437292493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3.957003429020442E-2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2.4321958996679889E-2</v>
      </c>
      <c r="E27" s="3"/>
      <c r="F27" s="3"/>
      <c r="G27" s="15" t="s">
        <v>63</v>
      </c>
      <c r="H27" s="16"/>
      <c r="I27" s="3">
        <f>(D18-SUM(N:N)/6)*(1-D14/2/D16)*(1-D14/2/D15)</f>
        <v>14725.220372761343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0.39910205002536259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6.5449846949787354E-3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6.5449846949787354E-3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1.3089969389957471E-2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15613.295616236826</v>
      </c>
      <c r="E32" s="3"/>
      <c r="F32" s="3"/>
      <c r="G32" s="15" t="s">
        <v>71</v>
      </c>
      <c r="H32" s="16"/>
      <c r="I32" s="3">
        <f>I28*I29*$D$12</f>
        <v>2.238584105442095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11.218103767193552</v>
      </c>
      <c r="F33" s="3"/>
      <c r="G33" s="15" t="s">
        <v>73</v>
      </c>
      <c r="H33" s="16"/>
      <c r="I33" s="3">
        <f>I28*I30*D12</f>
        <v>2.238584105442095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2.2498332718011004E-2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0.6251195652173912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1.5</v>
      </c>
      <c r="E36" s="3">
        <f>1+D35</f>
        <v>1.6251195652173913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3.2917396616379007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164586.98308189504</v>
      </c>
      <c r="E38" s="3"/>
      <c r="F38" s="3"/>
      <c r="G38" s="15" t="s">
        <v>83</v>
      </c>
      <c r="H38" s="16"/>
      <c r="I38" s="3">
        <f>1+I36*I34*(0.1+0.9/(1+I37*I34))</f>
        <v>1.1455880955377846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215477.33716025378</v>
      </c>
      <c r="E39" s="3"/>
      <c r="F39" s="3"/>
      <c r="G39" s="15" t="s">
        <v>0</v>
      </c>
      <c r="H39" s="16"/>
      <c r="I39" s="3">
        <f>I21*I38</f>
        <v>113.98601550600957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380064.32024214882</v>
      </c>
      <c r="E40" s="3"/>
      <c r="F40" s="3"/>
      <c r="G40" s="15" t="s">
        <v>1</v>
      </c>
      <c r="H40" s="16"/>
      <c r="I40" s="3">
        <f>I22*(1+5*(I39/I21-1))</f>
        <v>3.4558809553778464E-3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731873232.01110125</v>
      </c>
      <c r="E41" s="3"/>
      <c r="F41" s="3"/>
      <c r="G41" s="15" t="s">
        <v>85</v>
      </c>
      <c r="H41" s="16"/>
      <c r="I41" s="3">
        <f>I24/(I24-I39/I40)</f>
        <v>8.3480377526135108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1.9784266607106509E-2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2.5726262585213698E-3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2024-05-16T11:19:34Z</dcterms:modified>
</cp:coreProperties>
</file>