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DUMKP8r3tql+Vm6YRTKpiSo0ToE5qqY6TRj8oT3oKFI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<sst xmlns="http://schemas.openxmlformats.org/spreadsheetml/2006/main" count="109" uniqueCount="86">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</sst>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  <border>
      <left style="thin">
        <color rgb="FFB2B2B2"/>
      </left>
      <right style="thin">
        <color rgb="FFB2B2B2"/>
      </right>
      <bottom style="thin">
        <color rgb="FFB2B2B2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428625</xdr:colOff>
      <xdr:row>17</xdr:row>
      <xdr:rowOff>104775</xdr:rowOff>
    </xdr:from>
    <xdr:ext cx="8439150" cy="3571875"/>
    <xdr:pic>
      <xdr:nvPicPr>
        <xdr:cNvPr id="0" name="image3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39</xdr:row>
      <xdr:rowOff>0</xdr:rowOff>
    </xdr:from>
    <xdr:ext cx="8905875" cy="7800975"/>
    <xdr:pic>
      <xdr:nvPicPr>
        <xdr:cNvPr id="0" name="image2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42.53086733</v>
      </c>
      <c r="B2" s="2">
        <f>Calculate!R3</f>
        <v>0.007694046987</v>
      </c>
      <c r="C2" s="2">
        <f>Calculate!S3</f>
        <v>29.91048604</v>
      </c>
      <c r="D2" s="2">
        <f>Calculate!T3</f>
        <v>0.03951543622</v>
      </c>
      <c r="E2" s="2">
        <f>Calculate!Q6</f>
        <v>559162.7955</v>
      </c>
      <c r="F2" s="2">
        <f>Calculate!R6</f>
        <v>977797525.1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42.53086733</v>
      </c>
      <c r="R3" s="1">
        <f>I40</f>
        <v>0.007694046987</v>
      </c>
      <c r="S3" s="1">
        <f>I43</f>
        <v>29.91048604</v>
      </c>
      <c r="T3" s="1">
        <f>I42</f>
        <v>0.03951543622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400.0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400.0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34.0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559162.7955</v>
      </c>
      <c r="R6" s="1">
        <f>D41</f>
        <v>977797525.1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34.0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52.0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459.5</v>
      </c>
      <c r="E12" s="3"/>
      <c r="F12" s="3"/>
      <c r="G12" s="3"/>
      <c r="H12" s="3"/>
      <c r="I12" s="15"/>
      <c r="J12" s="15" t="s">
        <v>14</v>
      </c>
      <c r="K12" s="3"/>
      <c r="L12" s="16">
        <v>100.83</v>
      </c>
      <c r="M12" s="17">
        <f t="shared" ref="M12:M23" si="3">L12-VLOOKUP($D$22, $G$3:$K$8, 4, FALSE)</f>
        <v>81.78</v>
      </c>
      <c r="N12" s="3">
        <f t="shared" ref="N12:N23" si="4">M12^2</f>
        <v>6687.9684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8">
        <v>100.83</v>
      </c>
      <c r="M13" s="17">
        <f t="shared" si="3"/>
        <v>81.78</v>
      </c>
      <c r="N13" s="3">
        <f t="shared" si="4"/>
        <v>6687.9684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39.3</v>
      </c>
      <c r="E14" s="3"/>
      <c r="F14" s="3"/>
      <c r="G14" s="3"/>
      <c r="H14" s="3"/>
      <c r="K14" s="3"/>
      <c r="L14" s="18">
        <v>100.83</v>
      </c>
      <c r="M14" s="17">
        <f t="shared" si="3"/>
        <v>81.78</v>
      </c>
      <c r="N14" s="3">
        <f t="shared" si="4"/>
        <v>6687.9684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9">
        <f>D4-2*D7-VLOOKUP(D11, G3:K8, 4,FALSE )</f>
        <v>325.65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8">
        <v>100.83</v>
      </c>
      <c r="M15" s="17">
        <f t="shared" si="3"/>
        <v>81.78</v>
      </c>
      <c r="N15" s="3">
        <f t="shared" si="4"/>
        <v>6687.9684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9">
        <f>D5-2*D6-VLOOKUP(D11, G3:K8, 4,FALSE )</f>
        <v>325.65</v>
      </c>
      <c r="E16" s="3"/>
      <c r="F16" s="3"/>
      <c r="G16" s="3"/>
      <c r="H16" s="3"/>
      <c r="I16" s="10">
        <v>4.0</v>
      </c>
      <c r="J16" s="10" t="s">
        <v>12</v>
      </c>
      <c r="K16" s="3"/>
      <c r="L16" s="18">
        <v>100.83</v>
      </c>
      <c r="M16" s="17">
        <f t="shared" si="3"/>
        <v>81.78</v>
      </c>
      <c r="N16" s="3">
        <f t="shared" si="4"/>
        <v>6687.9684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63.33843489</v>
      </c>
      <c r="E17" s="3"/>
      <c r="F17" s="3"/>
      <c r="G17" s="3"/>
      <c r="H17" s="3"/>
      <c r="I17" s="15"/>
      <c r="J17" s="15" t="s">
        <v>14</v>
      </c>
      <c r="K17" s="3"/>
      <c r="L17" s="18">
        <v>100.83</v>
      </c>
      <c r="M17" s="17">
        <f t="shared" si="3"/>
        <v>81.78</v>
      </c>
      <c r="N17" s="3">
        <f t="shared" si="4"/>
        <v>6687.9684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106047.9225</v>
      </c>
      <c r="E18" s="3"/>
      <c r="F18" s="3"/>
      <c r="G18" s="3"/>
      <c r="H18" s="3"/>
      <c r="I18" s="15"/>
      <c r="J18" s="15" t="s">
        <v>17</v>
      </c>
      <c r="K18" s="3"/>
      <c r="L18" s="20">
        <v>100.83</v>
      </c>
      <c r="M18" s="17">
        <f t="shared" si="3"/>
        <v>81.78</v>
      </c>
      <c r="N18" s="3">
        <f t="shared" si="4"/>
        <v>6687.9684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20">
        <v>100.83</v>
      </c>
      <c r="M19" s="17">
        <f t="shared" si="3"/>
        <v>81.78</v>
      </c>
      <c r="N19" s="3">
        <f t="shared" si="4"/>
        <v>6687.9684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20">
        <v>100.83</v>
      </c>
      <c r="M20" s="17">
        <f t="shared" si="3"/>
        <v>81.78</v>
      </c>
      <c r="N20" s="3">
        <f t="shared" si="4"/>
        <v>6687.9684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27.1</v>
      </c>
      <c r="J21" s="3"/>
      <c r="K21" s="3"/>
      <c r="L21" s="20">
        <v>100.83</v>
      </c>
      <c r="M21" s="17">
        <f t="shared" si="3"/>
        <v>81.78</v>
      </c>
      <c r="N21" s="3">
        <f t="shared" si="4"/>
        <v>6687.9684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L22" s="20">
        <v>100.83</v>
      </c>
      <c r="M22" s="17">
        <f t="shared" si="3"/>
        <v>81.78</v>
      </c>
      <c r="N22" s="3">
        <f t="shared" si="4"/>
        <v>6687.9684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20">
        <v>100.83</v>
      </c>
      <c r="M23" s="17">
        <f t="shared" si="3"/>
        <v>81.78</v>
      </c>
      <c r="N23" s="3">
        <f t="shared" si="4"/>
        <v>6687.9684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497.0</v>
      </c>
      <c r="E24" s="3"/>
      <c r="F24" s="3"/>
      <c r="G24" s="3" t="s">
        <v>58</v>
      </c>
      <c r="I24" s="3">
        <f>15000*SQRT(I21*100/9.8)*0.8*9.8/100</f>
        <v>19555.9505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3420.275484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0.03225216867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0.02137672177</v>
      </c>
      <c r="E27" s="3"/>
      <c r="F27" s="3"/>
      <c r="G27" s="3" t="s">
        <v>63</v>
      </c>
      <c r="I27" s="3">
        <f>(D18-SUM(N:N)/6)*(1-D14/2/D16)*(1-D14/2/D15)</f>
        <v>81825.59213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0.7973055459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0.007480711345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0.007480711345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0.01496142269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8148.312709</v>
      </c>
      <c r="E32" s="3"/>
      <c r="F32" s="3"/>
      <c r="G32" s="3" t="s">
        <v>71</v>
      </c>
      <c r="I32" s="3">
        <f>I28*I29*$D$12</f>
        <v>2.740647609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6.874773726</v>
      </c>
      <c r="F33" s="3"/>
      <c r="G33" s="3" t="s">
        <v>73</v>
      </c>
      <c r="I33" s="3">
        <f>I28*I30*D12</f>
        <v>2.740647609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0.1011309081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0.1702586957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1.170258696</v>
      </c>
      <c r="E36" s="3">
        <f>1+D35</f>
        <v>1.170258696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1.520586405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194635.0598</v>
      </c>
      <c r="E38" s="3"/>
      <c r="F38" s="3"/>
      <c r="G38" s="3" t="s">
        <v>83</v>
      </c>
      <c r="I38" s="3">
        <f>1+I36*I34*(0.1+0.9/(1+I37*I34))</f>
        <v>1.569404699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364527.7357</v>
      </c>
      <c r="E39" s="3"/>
      <c r="F39" s="3"/>
      <c r="G39" s="3" t="s">
        <v>0</v>
      </c>
      <c r="I39" s="3">
        <f>I21*I38</f>
        <v>42.53086733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559162.7955</v>
      </c>
      <c r="E40" s="3"/>
      <c r="F40" s="3"/>
      <c r="G40" s="3" t="s">
        <v>1</v>
      </c>
      <c r="I40" s="3">
        <f>I22*(1+5*(I39/I21-1))</f>
        <v>0.007694046987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977797525.1</v>
      </c>
      <c r="E41" s="3"/>
      <c r="F41" s="3"/>
      <c r="G41" s="3" t="s">
        <v>85</v>
      </c>
      <c r="I41" s="3">
        <f>I24/(I24-I39/I40)</f>
        <v>1.394046831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0.03951543622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29.91048604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