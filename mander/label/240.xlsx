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eyaQKnY1M/zfISLRPGRaLdR4pRbb6Bt42SglabFsikA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<sst xmlns="http://schemas.openxmlformats.org/spreadsheetml/2006/main" count="109" uniqueCount="86">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</sst>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17</xdr:row>
      <xdr:rowOff>190500</xdr:rowOff>
    </xdr:from>
    <xdr:ext cx="8791575" cy="62865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39.43563115</v>
      </c>
      <c r="B2" s="2">
        <f>Calculate!R3</f>
        <v>0.00329960778</v>
      </c>
      <c r="C2" s="2">
        <f>Calculate!S3</f>
        <v>5.230962958</v>
      </c>
      <c r="D2" s="2">
        <f>Calculate!T3</f>
        <v>0.03593697763</v>
      </c>
      <c r="E2" s="2">
        <f>Calculate!Q6</f>
        <v>101481.1687</v>
      </c>
      <c r="F2" s="2">
        <f>Calculate!R6</f>
        <v>322149119.5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39.43563115</v>
      </c>
      <c r="R3" s="1">
        <f>I40</f>
        <v>0.00329960778</v>
      </c>
      <c r="S3" s="1">
        <f>I43</f>
        <v>5.230962958</v>
      </c>
      <c r="T3" s="1">
        <f>I42</f>
        <v>0.03593697763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101481.1687</v>
      </c>
      <c r="R6" s="1">
        <f>D41</f>
        <v>322149119.5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34.9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22192.53929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9246.89137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0.02398201261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0.2192630435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1.219263043</v>
      </c>
      <c r="E36" s="3">
        <f>1+D35</f>
        <v>1.219263043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1.797855176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66810.48454</v>
      </c>
      <c r="E38" s="3"/>
      <c r="F38" s="3"/>
      <c r="G38" s="3" t="s">
        <v>83</v>
      </c>
      <c r="I38" s="3">
        <f>1+I36*I34*(0.1+0.9/(1+I37*I34))</f>
        <v>1.129960778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39.43563115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101481.1687</v>
      </c>
      <c r="E40" s="3"/>
      <c r="F40" s="3"/>
      <c r="G40" s="3" t="s">
        <v>1</v>
      </c>
      <c r="I40" s="3">
        <f>I22*(1+5*(I39/I21-1))</f>
        <v>0.00329960778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322149119.5</v>
      </c>
      <c r="E41" s="3"/>
      <c r="F41" s="3"/>
      <c r="G41" s="3" t="s">
        <v>85</v>
      </c>
      <c r="I41" s="3">
        <f>I24/(I24-I39/I40)</f>
        <v>2.167043877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0.03593697763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5.230962958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