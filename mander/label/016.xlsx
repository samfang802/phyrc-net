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YYeafbRhbcjmh4ADGRLM1trJ52bUFpX0qnQZ7pMn6j4="/>
    </ext>
  </extLst>
</workbook>
</file>

<file path=xl/sharedStrings.xml><?xml version="1.0" encoding="utf-8"?>
<sst xmlns="http://schemas.openxmlformats.org/spreadsheetml/2006/main" count="104" uniqueCount="85">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</sst>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16</xdr:row>
      <xdr:rowOff>171450</xdr:rowOff>
    </xdr:from>
    <xdr:ext cx="1762125" cy="21431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50.95180327</v>
      </c>
      <c r="B2" s="2">
        <f>Calculate!R3</f>
        <v>0.00506456494</v>
      </c>
      <c r="C2" s="2">
        <f>Calculate!S3</f>
        <v>27.15418702</v>
      </c>
      <c r="D2" s="2">
        <f>Calculate!T3</f>
        <v>0.0230543615</v>
      </c>
      <c r="E2" s="2">
        <f>Calculate!Q6</f>
        <v>603926.2475</v>
      </c>
      <c r="F2" s="2">
        <f>Calculate!R6</f>
        <v>1172996164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>
        <v>8.0</v>
      </c>
      <c r="H3" s="9">
        <v>8.0</v>
      </c>
      <c r="I3" s="6">
        <f>8/25.4</f>
        <v>0.3149606299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50.95180327</v>
      </c>
      <c r="R3" s="1">
        <f>I40</f>
        <v>0.00506456494</v>
      </c>
      <c r="S3" s="1">
        <f>I43</f>
        <v>27.15418702</v>
      </c>
      <c r="T3" s="1">
        <f>I42</f>
        <v>0.0230543615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12</v>
      </c>
      <c r="D4" s="10">
        <v>400.0</v>
      </c>
      <c r="E4" s="3"/>
      <c r="F4" s="3"/>
      <c r="G4" s="11" t="s">
        <v>13</v>
      </c>
      <c r="H4" s="6" t="s">
        <v>14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400.0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13.0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603926.2475</v>
      </c>
      <c r="R6" s="1">
        <f>D41</f>
        <v>1172996164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13.0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77.0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>
        <v>8.0</v>
      </c>
      <c r="E11" s="3"/>
      <c r="F11" s="3"/>
      <c r="G11" s="3"/>
      <c r="H11" s="3"/>
      <c r="I11" s="10">
        <v>4.0</v>
      </c>
      <c r="J11" s="10">
        <v>8.0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372.0</v>
      </c>
      <c r="E12" s="3"/>
      <c r="F12" s="3"/>
      <c r="G12" s="3"/>
      <c r="H12" s="3"/>
      <c r="I12" s="15"/>
      <c r="J12" s="15" t="s">
        <v>13</v>
      </c>
      <c r="K12" s="3"/>
      <c r="L12" s="10">
        <v>114.0</v>
      </c>
      <c r="M12" s="16">
        <f t="shared" ref="M12:M23" si="3">L12-VLOOKUP($D$22, $G$3:$K$8, 4, FALSE)</f>
        <v>98.125</v>
      </c>
      <c r="N12" s="3">
        <f t="shared" ref="N12:N23" si="4">M12^2</f>
        <v>9628.515625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2.0</v>
      </c>
      <c r="E13" s="3"/>
      <c r="F13" s="3"/>
      <c r="G13" s="3"/>
      <c r="H13" s="3"/>
      <c r="I13" s="15"/>
      <c r="J13" s="15" t="s">
        <v>16</v>
      </c>
      <c r="K13" s="3"/>
      <c r="L13" s="10">
        <v>114.0</v>
      </c>
      <c r="M13" s="16">
        <f t="shared" si="3"/>
        <v>98.125</v>
      </c>
      <c r="N13" s="3">
        <f t="shared" si="4"/>
        <v>9628.515625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61</v>
      </c>
      <c r="E14" s="3"/>
      <c r="F14" s="3"/>
      <c r="G14" s="3"/>
      <c r="H14" s="3"/>
      <c r="K14" s="3"/>
      <c r="L14" s="10">
        <v>114.0</v>
      </c>
      <c r="M14" s="16">
        <f t="shared" si="3"/>
        <v>98.125</v>
      </c>
      <c r="N14" s="3">
        <f t="shared" si="4"/>
        <v>9628.515625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366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v>114.0</v>
      </c>
      <c r="M15" s="16">
        <f t="shared" si="3"/>
        <v>98.125</v>
      </c>
      <c r="N15" s="3">
        <f t="shared" si="4"/>
        <v>9628.515625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366</v>
      </c>
      <c r="E16" s="3"/>
      <c r="F16" s="3"/>
      <c r="G16" s="3"/>
      <c r="H16" s="3"/>
      <c r="I16" s="10">
        <v>4.0</v>
      </c>
      <c r="J16" s="10">
        <v>8.0</v>
      </c>
      <c r="K16" s="3"/>
      <c r="L16" s="10">
        <v>114.0</v>
      </c>
      <c r="M16" s="16">
        <f t="shared" si="3"/>
        <v>98.125</v>
      </c>
      <c r="N16" s="3">
        <f t="shared" si="4"/>
        <v>9628.515625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100.5309649</v>
      </c>
      <c r="E17" s="3"/>
      <c r="F17" s="3"/>
      <c r="G17" s="3"/>
      <c r="H17" s="3"/>
      <c r="I17" s="15"/>
      <c r="J17" s="15" t="s">
        <v>13</v>
      </c>
      <c r="K17" s="3"/>
      <c r="L17" s="10">
        <v>114.0</v>
      </c>
      <c r="M17" s="16">
        <f t="shared" si="3"/>
        <v>98.125</v>
      </c>
      <c r="N17" s="3">
        <f t="shared" si="4"/>
        <v>9628.515625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133956</v>
      </c>
      <c r="E18" s="3"/>
      <c r="F18" s="3"/>
      <c r="G18" s="3"/>
      <c r="H18" s="3"/>
      <c r="I18" s="15"/>
      <c r="J18" s="15" t="s">
        <v>16</v>
      </c>
      <c r="K18" s="3"/>
      <c r="L18" s="10">
        <v>114.0</v>
      </c>
      <c r="M18" s="16">
        <f t="shared" si="3"/>
        <v>98.125</v>
      </c>
      <c r="N18" s="3">
        <f t="shared" si="4"/>
        <v>9628.515625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114.0</v>
      </c>
      <c r="M19" s="16">
        <f t="shared" si="3"/>
        <v>98.125</v>
      </c>
      <c r="N19" s="3">
        <f t="shared" si="4"/>
        <v>9628.515625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0">
        <v>114.0</v>
      </c>
      <c r="M20" s="16">
        <f t="shared" si="3"/>
        <v>98.125</v>
      </c>
      <c r="N20" s="3">
        <f t="shared" si="4"/>
        <v>9628.515625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39.0</v>
      </c>
      <c r="J21" s="3"/>
      <c r="K21" s="3"/>
      <c r="L21" s="10">
        <v>114.0</v>
      </c>
      <c r="M21" s="16">
        <f t="shared" si="3"/>
        <v>98.125</v>
      </c>
      <c r="N21" s="3">
        <f t="shared" si="4"/>
        <v>9628.515625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16</v>
      </c>
      <c r="E22" s="3"/>
      <c r="F22" s="3"/>
      <c r="G22" s="3" t="s">
        <v>53</v>
      </c>
      <c r="I22" s="3">
        <v>0.002</v>
      </c>
      <c r="J22" s="3"/>
      <c r="K22" s="3"/>
      <c r="L22" s="10">
        <v>114.0</v>
      </c>
      <c r="M22" s="16">
        <f t="shared" si="3"/>
        <v>98.125</v>
      </c>
      <c r="N22" s="3">
        <f t="shared" si="4"/>
        <v>9628.515625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0">
        <v>114.0</v>
      </c>
      <c r="M23" s="16">
        <f t="shared" si="3"/>
        <v>98.125</v>
      </c>
      <c r="N23" s="3">
        <f t="shared" si="4"/>
        <v>9628.515625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474.0</v>
      </c>
      <c r="E24" s="3"/>
      <c r="F24" s="3"/>
      <c r="G24" s="3" t="s">
        <v>57</v>
      </c>
      <c r="I24" s="3">
        <f>15000*SQRT(I21*100/9.8)*0.8*9.8/100</f>
        <v>23459.92327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2375.191308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0.01773113043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0.01484494568</v>
      </c>
      <c r="E27" s="3"/>
      <c r="F27" s="3"/>
      <c r="G27" s="3" t="s">
        <v>62</v>
      </c>
      <c r="I27" s="3">
        <f>(D18-SUM(N:N)/6)*(1-D14/2/D16)*(1-D14/2/D15)</f>
        <v>96378.99457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0.7324699972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0.007134409546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0.007134409546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0.01426881909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9774.968031</v>
      </c>
      <c r="E32" s="3"/>
      <c r="F32" s="3"/>
      <c r="G32" s="3" t="s">
        <v>70</v>
      </c>
      <c r="I32" s="3">
        <f>I28*I29*$D$12</f>
        <v>1.94397563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5.308000702</v>
      </c>
      <c r="F33" s="3"/>
      <c r="G33" s="3" t="s">
        <v>72</v>
      </c>
      <c r="I33" s="3">
        <f>I28*I30*D12</f>
        <v>1.94397563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0.04984552897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0.2450217391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1.245021739</v>
      </c>
      <c r="E36" s="3">
        <f>1+D35</f>
        <v>1.245021739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1.940679504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248406.9765</v>
      </c>
      <c r="E38" s="3"/>
      <c r="F38" s="3"/>
      <c r="G38" s="3" t="s">
        <v>82</v>
      </c>
      <c r="I38" s="3">
        <f>1+I36*I34*(0.1+0.9/(1+I37*I34))</f>
        <v>1.306456494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355519.271</v>
      </c>
      <c r="E39" s="3"/>
      <c r="F39" s="3"/>
      <c r="G39" s="3" t="s">
        <v>0</v>
      </c>
      <c r="I39" s="3">
        <f>I21*I38</f>
        <v>50.95180327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603926.2475</v>
      </c>
      <c r="E40" s="3"/>
      <c r="F40" s="3"/>
      <c r="G40" s="3" t="s">
        <v>1</v>
      </c>
      <c r="I40" s="3">
        <f>I22*(1+5*(I39/I21-1))</f>
        <v>0.00506456494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1172996164</v>
      </c>
      <c r="E41" s="3"/>
      <c r="F41" s="3"/>
      <c r="G41" s="3" t="s">
        <v>84</v>
      </c>
      <c r="I41" s="3">
        <f>I24/(I24-I39/I40)</f>
        <v>1.750809387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0.0230543615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27.15418702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