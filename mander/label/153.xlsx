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Gaiz2hv7gbCDeAEPBtrQF6Z0MB16cZY0XBHACtwsjw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<sst xmlns="http://schemas.openxmlformats.org/spreadsheetml/2006/main" count="109" uniqueCount="86">
  <si>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</si>
  <si>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</si>
  <si>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</si>
  <si>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</si>
  <si>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</si>
  <si>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</si>
  <si>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</si>
  <si>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</si>
  <si>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</si>
  <si>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</si>
  <si>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</si>
  <si>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</si>
  <si>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</si>
  <si>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</si>
  <si>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</si>
  <si>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U6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</si>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</sst>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7019925" cy="5095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220.8153563</v>
      </c>
      <c r="B2" s="2">
        <f>Calculate!R3</f>
        <v>0.01071316579</v>
      </c>
      <c r="C2" s="2">
        <f>Calculate!S3</f>
        <v>66.70719992</v>
      </c>
      <c r="D2" s="2">
        <f>Calculate!T3</f>
        <v>0.06731823299</v>
      </c>
      <c r="E2" s="2">
        <f>Calculate!Q6</f>
        <v>1172371.028</v>
      </c>
      <c r="F2" s="2">
        <f>Calculate!R6</f>
        <v>645580413.1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220.8153563</v>
      </c>
      <c r="R3" s="1">
        <f>I40</f>
        <v>0.01071316579</v>
      </c>
      <c r="S3" s="1">
        <f>I43</f>
        <v>66.70719992</v>
      </c>
      <c r="T3" s="1">
        <f>I42</f>
        <v>0.06731823299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225.0</v>
      </c>
      <c r="E4" s="3"/>
      <c r="F4" s="3"/>
      <c r="G4" s="10" t="s">
        <v>15</v>
      </c>
      <c r="H4" s="11" t="s">
        <v>15</v>
      </c>
      <c r="I4" s="6">
        <f>6.4/25.4</f>
        <v>0.2519685039</v>
      </c>
      <c r="J4" s="11">
        <v>6.4</v>
      </c>
      <c r="K4" s="1">
        <f t="shared" si="1"/>
        <v>32.16990877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225.0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11.2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1172371.028</v>
      </c>
      <c r="R6" s="1">
        <f>D41</f>
        <v>645580413.1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11.2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1424.0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60.1</v>
      </c>
      <c r="M12" s="16">
        <f t="shared" ref="M12:M23" si="3">L12-VLOOKUP($D$22, $G$3:$K$8, 4, FALSE)</f>
        <v>50.575</v>
      </c>
      <c r="N12" s="3">
        <f t="shared" ref="N12:N23" si="4">M12^2</f>
        <v>2557.830625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9">
        <v>60.1</v>
      </c>
      <c r="M13" s="16">
        <f t="shared" si="3"/>
        <v>50.575</v>
      </c>
      <c r="N13" s="3">
        <f t="shared" si="4"/>
        <v>2557.830625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28.6</v>
      </c>
      <c r="E14" s="3"/>
      <c r="F14" s="3"/>
      <c r="G14" s="3"/>
      <c r="H14" s="3"/>
      <c r="K14" s="3"/>
      <c r="L14" s="9">
        <v>60.1</v>
      </c>
      <c r="M14" s="16">
        <f t="shared" si="3"/>
        <v>50.575</v>
      </c>
      <c r="N14" s="3">
        <f t="shared" si="4"/>
        <v>2557.830625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60.1</v>
      </c>
      <c r="M15" s="16">
        <f t="shared" si="3"/>
        <v>50.575</v>
      </c>
      <c r="N15" s="3">
        <f t="shared" si="4"/>
        <v>2557.830625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196.2</v>
      </c>
      <c r="E16" s="3"/>
      <c r="F16" s="3"/>
      <c r="G16" s="3"/>
      <c r="H16" s="3"/>
      <c r="I16" s="15"/>
      <c r="J16" s="15" t="s">
        <v>12</v>
      </c>
      <c r="K16" s="3"/>
      <c r="L16" s="9">
        <v>60.1</v>
      </c>
      <c r="M16" s="16">
        <f t="shared" si="3"/>
        <v>50.575</v>
      </c>
      <c r="N16" s="3">
        <f t="shared" si="4"/>
        <v>2557.830625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32.16990877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60.1</v>
      </c>
      <c r="M17" s="16">
        <f t="shared" si="3"/>
        <v>50.575</v>
      </c>
      <c r="N17" s="3">
        <f t="shared" si="4"/>
        <v>2557.830625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38494.44</v>
      </c>
      <c r="E18" s="3"/>
      <c r="F18" s="3"/>
      <c r="G18" s="3"/>
      <c r="H18" s="3"/>
      <c r="I18" s="15"/>
      <c r="J18" s="15" t="s">
        <v>17</v>
      </c>
      <c r="K18" s="3"/>
      <c r="L18" s="9">
        <v>60.1</v>
      </c>
      <c r="M18" s="16">
        <f t="shared" si="3"/>
        <v>50.575</v>
      </c>
      <c r="N18" s="3">
        <f t="shared" si="4"/>
        <v>2557.830625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60.1</v>
      </c>
      <c r="M19" s="16">
        <f t="shared" si="3"/>
        <v>50.575</v>
      </c>
      <c r="N19" s="3">
        <f t="shared" si="4"/>
        <v>2557.830625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60.1</v>
      </c>
      <c r="M20" s="16">
        <f t="shared" si="3"/>
        <v>50.575</v>
      </c>
      <c r="N20" s="3">
        <f t="shared" si="4"/>
        <v>2557.830625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118.0</v>
      </c>
      <c r="J21" s="3"/>
      <c r="K21" s="3"/>
      <c r="L21" s="9">
        <v>60.1</v>
      </c>
      <c r="M21" s="16">
        <f t="shared" si="3"/>
        <v>50.575</v>
      </c>
      <c r="N21" s="3">
        <f t="shared" si="4"/>
        <v>2557.830625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9">
        <v>60.1</v>
      </c>
      <c r="M22" s="16">
        <f t="shared" si="3"/>
        <v>50.575</v>
      </c>
      <c r="N22" s="3">
        <f t="shared" si="4"/>
        <v>2557.830625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60.1</v>
      </c>
      <c r="M23" s="16">
        <f t="shared" si="3"/>
        <v>50.575</v>
      </c>
      <c r="N23" s="3">
        <f t="shared" si="4"/>
        <v>2557.830625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393.0</v>
      </c>
      <c r="E24" s="3"/>
      <c r="F24" s="3"/>
      <c r="G24" s="3" t="s">
        <v>58</v>
      </c>
      <c r="I24" s="3">
        <f>15000*SQRT(I21*100/9.8)*0.8*9.8/100</f>
        <v>40807.05821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0.02221278894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0.0168902493</v>
      </c>
      <c r="E27" s="3"/>
      <c r="F27" s="3"/>
      <c r="G27" s="3" t="s">
        <v>63</v>
      </c>
      <c r="I27" s="3">
        <f>(D18-SUM(N:N)/6)*(1-D14/2/D16)*(1-D14/2/D15)</f>
        <v>28690.48137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0.7622465654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0.01873884303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0.01873884303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0.03747768606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17002.94092</v>
      </c>
      <c r="E32" s="3"/>
      <c r="F32" s="3"/>
      <c r="G32" s="3" t="s">
        <v>71</v>
      </c>
      <c r="I32" s="3">
        <f>I28*I29*$D$12</f>
        <v>20.33987309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53.36822495</v>
      </c>
      <c r="F33" s="3"/>
      <c r="G33" s="3" t="s">
        <v>73</v>
      </c>
      <c r="I33" s="3">
        <f>I28*I30*D12</f>
        <v>20.33987309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0.1723718058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0.7413478261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1.741347826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3.584717562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145181.0613</v>
      </c>
      <c r="E38" s="3"/>
      <c r="F38" s="3"/>
      <c r="G38" s="3" t="s">
        <v>83</v>
      </c>
      <c r="I38" s="3">
        <f>1+I36*I34*(0.1+0.9/(1+I37*I34))</f>
        <v>1.871316579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1027189.967</v>
      </c>
      <c r="E39" s="3"/>
      <c r="F39" s="3"/>
      <c r="G39" s="3" t="s">
        <v>0</v>
      </c>
      <c r="I39" s="3">
        <f>I21*I38</f>
        <v>220.8153563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1172371.028</v>
      </c>
      <c r="E40" s="3"/>
      <c r="F40" s="3"/>
      <c r="G40" s="3" t="s">
        <v>1</v>
      </c>
      <c r="I40" s="3">
        <f>I22*(1+5*(I39/I21-1))</f>
        <v>0.01071316579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645580413.1</v>
      </c>
      <c r="E41" s="3"/>
      <c r="F41" s="3"/>
      <c r="G41" s="3" t="s">
        <v>85</v>
      </c>
      <c r="I41" s="3">
        <f>I24/(I24-I39/I40)</f>
        <v>2.020604482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0.06731823299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66.70719992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