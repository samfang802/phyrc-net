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gntuedutw-my.sharepoint.com/personal/b07501078_g_ntu_edu_tw/Documents/桌面/DamageIndex/Opensee/label/"/>
    </mc:Choice>
  </mc:AlternateContent>
  <xr:revisionPtr revIDLastSave="28" documentId="11_AD4DBB64A54DDB1B405E38E00D1C0C1F4F90DF23" xr6:coauthVersionLast="47" xr6:coauthVersionMax="47" xr10:uidLastSave="{764F7FE2-C7E3-4244-A2F4-7FF5729C1418}"/>
  <bookViews>
    <workbookView xWindow="-120" yWindow="-120" windowWidth="29040" windowHeight="15720" activeTab="1" xr2:uid="{00000000-000D-0000-FFFF-FFFF00000000}"/>
  </bookViews>
  <sheets>
    <sheet name="record" sheetId="11" r:id="rId1"/>
    <sheet name="Calculat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8" l="1"/>
  <c r="N18" i="8" s="1"/>
  <c r="M19" i="8"/>
  <c r="N19" i="8"/>
  <c r="M20" i="8"/>
  <c r="N20" i="8" s="1"/>
  <c r="M21" i="8"/>
  <c r="N21" i="8" s="1"/>
  <c r="M22" i="8"/>
  <c r="N22" i="8"/>
  <c r="M23" i="8"/>
  <c r="N23" i="8" s="1"/>
  <c r="M17" i="8" l="1"/>
  <c r="N17" i="8" s="1"/>
  <c r="D35" i="8"/>
  <c r="E36" i="8" s="1"/>
  <c r="I24" i="8"/>
  <c r="I8" i="8"/>
  <c r="J8" i="8" s="1"/>
  <c r="I7" i="8"/>
  <c r="J7" i="8" s="1"/>
  <c r="K7" i="8" s="1"/>
  <c r="I6" i="8"/>
  <c r="J6" i="8" s="1"/>
  <c r="K6" i="8" s="1"/>
  <c r="I5" i="8"/>
  <c r="J5" i="8" s="1"/>
  <c r="K5" i="8" s="1"/>
  <c r="I4" i="8"/>
  <c r="J4" i="8" s="1"/>
  <c r="I3" i="8"/>
  <c r="J3" i="8" s="1"/>
  <c r="K3" i="8" s="1"/>
  <c r="D36" i="8" l="1"/>
  <c r="K4" i="8"/>
  <c r="D17" i="8" s="1"/>
  <c r="D14" i="8"/>
  <c r="D15" i="8"/>
  <c r="D16" i="8"/>
  <c r="I29" i="8" s="1"/>
  <c r="M14" i="8"/>
  <c r="N14" i="8" s="1"/>
  <c r="K8" i="8"/>
  <c r="D25" i="8" s="1"/>
  <c r="M16" i="8"/>
  <c r="N16" i="8" s="1"/>
  <c r="M15" i="8"/>
  <c r="N15" i="8" s="1"/>
  <c r="M13" i="8"/>
  <c r="N13" i="8" s="1"/>
  <c r="M12" i="8"/>
  <c r="N12" i="8" s="1"/>
  <c r="D32" i="8"/>
  <c r="D41" i="8" s="1"/>
  <c r="R6" i="8" s="1"/>
  <c r="F2" i="11" s="1"/>
  <c r="D27" i="8" l="1"/>
  <c r="D18" i="8"/>
  <c r="I27" i="8" s="1"/>
  <c r="D39" i="8"/>
  <c r="I30" i="8"/>
  <c r="I31" i="8" s="1"/>
  <c r="E33" i="8" l="1"/>
  <c r="I42" i="8"/>
  <c r="T3" i="8" s="1"/>
  <c r="D2" i="11" s="1"/>
  <c r="D33" i="8"/>
  <c r="D26" i="8"/>
  <c r="I28" i="8" s="1"/>
  <c r="I32" i="8" l="1"/>
  <c r="I33" i="8"/>
  <c r="D34" i="8"/>
  <c r="D37" i="8" s="1"/>
  <c r="D38" i="8" s="1"/>
  <c r="D40" i="8" s="1"/>
  <c r="Q6" i="8" s="1"/>
  <c r="E2" i="11" s="1"/>
  <c r="E34" i="8"/>
  <c r="I34" i="8" l="1"/>
  <c r="I35" i="8"/>
  <c r="I36" i="8" s="1"/>
  <c r="I37" i="8" l="1"/>
  <c r="I38" i="8" s="1"/>
  <c r="I39" i="8" s="1"/>
  <c r="I40" i="8" l="1"/>
  <c r="R3" i="8" s="1"/>
  <c r="B2" i="11" s="1"/>
  <c r="Q3" i="8"/>
  <c r="A2" i="11" s="1"/>
  <c r="I41" i="8" l="1"/>
  <c r="I43" i="8" s="1"/>
  <c r="S3" i="8" s="1"/>
  <c r="C2" i="11" s="1"/>
</calcChain>
</file>

<file path=xl/sharedStrings.xml><?xml version="1.0" encoding="utf-8"?>
<sst xmlns="http://schemas.openxmlformats.org/spreadsheetml/2006/main" count="109" uniqueCount="91">
  <si>
    <t>fcc</t>
    <phoneticPr fontId="1" type="noConversion"/>
  </si>
  <si>
    <t>epscc</t>
    <phoneticPr fontId="1" type="noConversion"/>
  </si>
  <si>
    <t>fcu</t>
    <phoneticPr fontId="1" type="noConversion"/>
  </si>
  <si>
    <t>epscu</t>
    <phoneticPr fontId="1" type="noConversion"/>
  </si>
  <si>
    <t>#3</t>
  </si>
  <si>
    <t>#3</t>
    <phoneticPr fontId="1" type="noConversion"/>
  </si>
  <si>
    <t>#4</t>
  </si>
  <si>
    <t>#4</t>
    <phoneticPr fontId="1" type="noConversion"/>
  </si>
  <si>
    <t>#5</t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</si>
  <si>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</si>
  <si>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</si>
  <si>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</si>
  <si>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</si>
  <si>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D10</t>
    <phoneticPr fontId="1" type="noConversion"/>
  </si>
  <si>
    <t>D13</t>
    <phoneticPr fontId="1" type="noConversion"/>
  </si>
  <si>
    <t>D16</t>
    <phoneticPr fontId="1" type="noConversion"/>
  </si>
  <si>
    <t>D19</t>
    <phoneticPr fontId="1" type="noConversion"/>
  </si>
  <si>
    <t>D22</t>
    <phoneticPr fontId="1" type="noConversion"/>
  </si>
  <si>
    <t>D25</t>
    <phoneticPr fontId="1" type="noConversion"/>
  </si>
  <si>
    <t>Diameter(inch)</t>
    <phoneticPr fontId="1" type="noConversion"/>
  </si>
  <si>
    <t>Diameter(mm)</t>
    <phoneticPr fontId="1" type="noConversion"/>
  </si>
  <si>
    <t>Area(mm^2)</t>
    <phoneticPr fontId="1" type="noConversion"/>
  </si>
  <si>
    <t>spacing</t>
    <phoneticPr fontId="1" type="noConversion"/>
  </si>
  <si>
    <t>Rebar</t>
    <phoneticPr fontId="1" type="noConversion"/>
  </si>
  <si>
    <t>Tr. Hoop Rebar</t>
    <phoneticPr fontId="1" type="noConversion"/>
  </si>
  <si>
    <t>Clear distance</t>
    <phoneticPr fontId="1" type="noConversion"/>
  </si>
  <si>
    <t>Clear cover (y)</t>
    <phoneticPr fontId="1" type="noConversion"/>
  </si>
  <si>
    <t>Width (core)</t>
    <phoneticPr fontId="1" type="noConversion"/>
  </si>
  <si>
    <t>Depth (core)</t>
    <phoneticPr fontId="1" type="noConversion"/>
  </si>
  <si>
    <t>Section</t>
    <phoneticPr fontId="1" type="noConversion"/>
  </si>
  <si>
    <t>Transverse Reinforcement</t>
    <phoneticPr fontId="1" type="noConversion"/>
  </si>
  <si>
    <t>Long. Rebar</t>
    <phoneticPr fontId="1" type="noConversion"/>
  </si>
  <si>
    <t>Longitudinal Reinforcement</t>
    <phoneticPr fontId="1" type="noConversion"/>
  </si>
  <si>
    <t># of hoop in a bundle</t>
    <phoneticPr fontId="1" type="noConversion"/>
  </si>
  <si>
    <t># of bars</t>
    <phoneticPr fontId="1" type="noConversion"/>
  </si>
  <si>
    <t>Area in a bundle</t>
    <phoneticPr fontId="1" type="noConversion"/>
  </si>
  <si>
    <t>As</t>
    <phoneticPr fontId="1" type="noConversion"/>
  </si>
  <si>
    <t>Area of core</t>
    <phoneticPr fontId="1" type="noConversion"/>
  </si>
  <si>
    <t>rho_cc</t>
    <phoneticPr fontId="1" type="noConversion"/>
  </si>
  <si>
    <t>w</t>
    <phoneticPr fontId="1" type="noConversion"/>
  </si>
  <si>
    <t>w-db</t>
    <phoneticPr fontId="1" type="noConversion"/>
  </si>
  <si>
    <t>Mander's Model</t>
    <phoneticPr fontId="1" type="noConversion"/>
  </si>
  <si>
    <t>(w-db)^2</t>
    <phoneticPr fontId="1" type="noConversion"/>
  </si>
  <si>
    <t>rho_ty</t>
    <phoneticPr fontId="1" type="noConversion"/>
  </si>
  <si>
    <t>Type</t>
    <phoneticPr fontId="1" type="noConversion"/>
  </si>
  <si>
    <t>y reinforcement</t>
    <phoneticPr fontId="1" type="noConversion"/>
  </si>
  <si>
    <t>fy Hoop (Mpa)</t>
    <phoneticPr fontId="1" type="noConversion"/>
  </si>
  <si>
    <t>fy</t>
    <phoneticPr fontId="1" type="noConversion"/>
  </si>
  <si>
    <t>Concrete</t>
    <phoneticPr fontId="1" type="noConversion"/>
  </si>
  <si>
    <t>fc (Mpa)</t>
    <phoneticPr fontId="1" type="noConversion"/>
  </si>
  <si>
    <t>eps0</t>
    <phoneticPr fontId="1" type="noConversion"/>
  </si>
  <si>
    <t>epss</t>
    <phoneticPr fontId="1" type="noConversion"/>
  </si>
  <si>
    <t>Ec</t>
    <phoneticPr fontId="1" type="noConversion"/>
  </si>
  <si>
    <t>Width(y)</t>
    <phoneticPr fontId="1" type="noConversion"/>
  </si>
  <si>
    <t>Load is applied along the width axis</t>
    <phoneticPr fontId="1" type="noConversion"/>
  </si>
  <si>
    <t>rho_t</t>
    <phoneticPr fontId="1" type="noConversion"/>
  </si>
  <si>
    <t>ke</t>
    <phoneticPr fontId="1" type="noConversion"/>
  </si>
  <si>
    <t>Ae</t>
    <phoneticPr fontId="1" type="noConversion"/>
  </si>
  <si>
    <t>fly</t>
    <phoneticPr fontId="1" type="noConversion"/>
  </si>
  <si>
    <t>xfactor</t>
    <phoneticPr fontId="1" type="noConversion"/>
  </si>
  <si>
    <t>rfactor</t>
    <phoneticPr fontId="1" type="noConversion"/>
  </si>
  <si>
    <t>Afactor</t>
    <phoneticPr fontId="1" type="noConversion"/>
  </si>
  <si>
    <t>Bfactor</t>
    <phoneticPr fontId="1" type="noConversion"/>
  </si>
  <si>
    <t>Kfactor</t>
    <phoneticPr fontId="1" type="noConversion"/>
  </si>
  <si>
    <t>ecr</t>
    <phoneticPr fontId="1" type="noConversion"/>
  </si>
  <si>
    <t xml:space="preserve"># </t>
    <phoneticPr fontId="1" type="noConversion"/>
  </si>
  <si>
    <t>rho</t>
    <phoneticPr fontId="1" type="noConversion"/>
  </si>
  <si>
    <t>poisson</t>
    <phoneticPr fontId="1" type="noConversion"/>
  </si>
  <si>
    <t>Vn</t>
    <phoneticPr fontId="1" type="noConversion"/>
  </si>
  <si>
    <t>Vst</t>
    <phoneticPr fontId="1" type="noConversion"/>
  </si>
  <si>
    <t>Shear Capacity</t>
    <phoneticPr fontId="1" type="noConversion"/>
  </si>
  <si>
    <t>G</t>
    <phoneticPr fontId="1" type="noConversion"/>
  </si>
  <si>
    <t>mm-s-N-Mpa</t>
    <phoneticPr fontId="1" type="noConversion"/>
  </si>
  <si>
    <t>inches</t>
    <phoneticPr fontId="1" type="noConversion"/>
  </si>
  <si>
    <t>ksi</t>
    <phoneticPr fontId="1" type="noConversion"/>
  </si>
  <si>
    <t>kgf/cm2</t>
    <phoneticPr fontId="1" type="noConversion"/>
  </si>
  <si>
    <t>psi</t>
    <phoneticPr fontId="1" type="noConversion"/>
  </si>
  <si>
    <t>feet</t>
    <phoneticPr fontId="1" type="noConversion"/>
  </si>
  <si>
    <t>rhotfyh</t>
    <phoneticPr fontId="1" type="noConversion"/>
  </si>
  <si>
    <t>fv1</t>
    <phoneticPr fontId="1" type="noConversion"/>
  </si>
  <si>
    <t>ALR</t>
    <phoneticPr fontId="1" type="noConversion"/>
  </si>
  <si>
    <t>fv2</t>
    <phoneticPr fontId="1" type="noConversion"/>
  </si>
  <si>
    <t>Vc</t>
    <phoneticPr fontId="1" type="noConversion"/>
  </si>
  <si>
    <t>vc</t>
    <phoneticPr fontId="1" type="noConversion"/>
  </si>
  <si>
    <t>Vs</t>
    <phoneticPr fontId="1" type="noConversion"/>
  </si>
  <si>
    <t>Depth(z)</t>
    <phoneticPr fontId="1" type="noConversion"/>
  </si>
  <si>
    <t>Clear cover (z)</t>
    <phoneticPr fontId="1" type="noConversion"/>
  </si>
  <si>
    <t>z reinforcement</t>
    <phoneticPr fontId="1" type="noConversion"/>
  </si>
  <si>
    <t>rho_tz</t>
    <phoneticPr fontId="1" type="noConversion"/>
  </si>
  <si>
    <t>flz</t>
    <phoneticPr fontId="1" type="noConversion"/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</si>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</sst>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i/>
      <u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2">
    <xf numFmtId="0" fontId="0" fillId="0" borderId="0"/>
    <xf numFmtId="0" fontId="2" fillId="2" borderId="2" applyNumberFormat="0" applyFont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2" borderId="2" xfId="1" applyFon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2" borderId="8" xfId="1" applyFont="1" applyBorder="1" applyAlignment="1">
      <alignment horizontal="center"/>
    </xf>
  </cellXfs>
  <cellStyles count="2">
    <cellStyle name="一般" xfId="0" builtinId="0"/>
    <cellStyle name="備註" xfId="1" builtinId="10"/>
  </cellStyles>
  <dxfs count="6">
    <dxf>
      <numFmt numFmtId="176" formatCode="0.00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176" formatCode="0.00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27</xdr:row>
      <xdr:rowOff>118986</xdr:rowOff>
    </xdr:from>
    <xdr:to>
      <xdr:col>6</xdr:col>
      <xdr:colOff>85725</xdr:colOff>
      <xdr:row>30</xdr:row>
      <xdr:rowOff>66675</xdr:rowOff>
    </xdr:to>
    <xdr:pic>
      <xdr:nvPicPr>
        <xdr:cNvPr id="2" name="圖片 1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54AEAE38-14E5-4F44-B395-BF2FB018D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50" b="30412"/>
        <a:stretch/>
      </xdr:blipFill>
      <xdr:spPr bwMode="auto">
        <a:xfrm>
          <a:off x="2343150" y="5519661"/>
          <a:ext cx="2143125" cy="54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11206</xdr:colOff>
      <xdr:row>0</xdr:row>
      <xdr:rowOff>0</xdr:rowOff>
    </xdr:from>
    <xdr:to>
      <xdr:col>31</xdr:col>
      <xdr:colOff>132629</xdr:colOff>
      <xdr:row>24</xdr:row>
      <xdr:rowOff>89647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B0FFFA6F-4A0E-4857-B409-B46347CB3F8D}"/>
            </a:ext>
          </a:extLst>
        </xdr:cNvPr>
        <xdr:cNvGrpSpPr/>
      </xdr:nvGrpSpPr>
      <xdr:grpSpPr>
        <a:xfrm>
          <a:off x="16427824" y="0"/>
          <a:ext cx="4357246" cy="4930588"/>
          <a:chOff x="16058030" y="112059"/>
          <a:chExt cx="4301218" cy="4695285"/>
        </a:xfrm>
      </xdr:grpSpPr>
      <xdr:grpSp>
        <xdr:nvGrpSpPr>
          <xdr:cNvPr id="7" name="群組 6">
            <a:extLst>
              <a:ext uri="{FF2B5EF4-FFF2-40B4-BE49-F238E27FC236}">
                <a16:creationId xmlns:a16="http://schemas.microsoft.com/office/drawing/2014/main" id="{13FCC0D4-B30C-49F5-9309-696A66CBD1EF}"/>
              </a:ext>
            </a:extLst>
          </xdr:cNvPr>
          <xdr:cNvGrpSpPr/>
        </xdr:nvGrpSpPr>
        <xdr:grpSpPr>
          <a:xfrm>
            <a:off x="18433678" y="112059"/>
            <a:ext cx="1925570" cy="4695285"/>
            <a:chOff x="13816854" y="1086971"/>
            <a:chExt cx="1925570" cy="4695285"/>
          </a:xfrm>
        </xdr:grpSpPr>
        <xdr:sp macro="" textlink="">
          <xdr:nvSpPr>
            <xdr:cNvPr id="18" name="矩形 17">
              <a:extLst>
                <a:ext uri="{FF2B5EF4-FFF2-40B4-BE49-F238E27FC236}">
                  <a16:creationId xmlns:a16="http://schemas.microsoft.com/office/drawing/2014/main" id="{BF9CE807-FD73-4E5F-8CFD-99D23233F4B0}"/>
                </a:ext>
              </a:extLst>
            </xdr:cNvPr>
            <xdr:cNvSpPr/>
          </xdr:nvSpPr>
          <xdr:spPr>
            <a:xfrm>
              <a:off x="14186185" y="2520254"/>
              <a:ext cx="1556239" cy="2558562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19" name="文字方塊 4">
              <a:extLst>
                <a:ext uri="{FF2B5EF4-FFF2-40B4-BE49-F238E27FC236}">
                  <a16:creationId xmlns:a16="http://schemas.microsoft.com/office/drawing/2014/main" id="{E21D9658-F34E-4CF7-AC0B-C046BEB4D70C}"/>
                </a:ext>
              </a:extLst>
            </xdr:cNvPr>
            <xdr:cNvSpPr txBox="1"/>
          </xdr:nvSpPr>
          <xdr:spPr>
            <a:xfrm rot="16200000">
              <a:off x="13619844" y="3614868"/>
              <a:ext cx="763351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Width</a:t>
              </a:r>
              <a:endParaRPr lang="zh-TW" altLang="en-US"/>
            </a:p>
          </xdr:txBody>
        </xdr:sp>
        <xdr:sp macro="" textlink="">
          <xdr:nvSpPr>
            <xdr:cNvPr id="20" name="文字方塊 5">
              <a:extLst>
                <a:ext uri="{FF2B5EF4-FFF2-40B4-BE49-F238E27FC236}">
                  <a16:creationId xmlns:a16="http://schemas.microsoft.com/office/drawing/2014/main" id="{33C205F0-91AA-4BF7-8D9D-EBE17876DFEC}"/>
                </a:ext>
              </a:extLst>
            </xdr:cNvPr>
            <xdr:cNvSpPr txBox="1"/>
          </xdr:nvSpPr>
          <xdr:spPr>
            <a:xfrm>
              <a:off x="14582628" y="2150922"/>
              <a:ext cx="762325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Depth</a:t>
              </a:r>
              <a:endParaRPr lang="zh-TW" altLang="en-US"/>
            </a:p>
          </xdr:txBody>
        </xdr:sp>
        <xdr:sp macro="" textlink="">
          <xdr:nvSpPr>
            <xdr:cNvPr id="21" name="箭號: 向下 20">
              <a:extLst>
                <a:ext uri="{FF2B5EF4-FFF2-40B4-BE49-F238E27FC236}">
                  <a16:creationId xmlns:a16="http://schemas.microsoft.com/office/drawing/2014/main" id="{2EA45A16-FEF8-4D37-8C2E-D7B9580E5164}"/>
                </a:ext>
              </a:extLst>
            </xdr:cNvPr>
            <xdr:cNvSpPr/>
          </xdr:nvSpPr>
          <xdr:spPr>
            <a:xfrm>
              <a:off x="14757684" y="1557442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2" name="箭號: 向下 21">
              <a:extLst>
                <a:ext uri="{FF2B5EF4-FFF2-40B4-BE49-F238E27FC236}">
                  <a16:creationId xmlns:a16="http://schemas.microsoft.com/office/drawing/2014/main" id="{297FBC0B-B40F-4399-96B3-0AB2A123C72A}"/>
                </a:ext>
              </a:extLst>
            </xdr:cNvPr>
            <xdr:cNvSpPr/>
          </xdr:nvSpPr>
          <xdr:spPr>
            <a:xfrm rot="10800000">
              <a:off x="14783547" y="5281094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3" name="文字方塊 9">
              <a:extLst>
                <a:ext uri="{FF2B5EF4-FFF2-40B4-BE49-F238E27FC236}">
                  <a16:creationId xmlns:a16="http://schemas.microsoft.com/office/drawing/2014/main" id="{A202761D-5DFF-413F-B017-4039175237E2}"/>
                </a:ext>
              </a:extLst>
            </xdr:cNvPr>
            <xdr:cNvSpPr txBox="1"/>
          </xdr:nvSpPr>
          <xdr:spPr>
            <a:xfrm>
              <a:off x="14619569" y="1086971"/>
              <a:ext cx="636713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Load</a:t>
              </a:r>
              <a:endParaRPr lang="zh-TW" altLang="en-US"/>
            </a:p>
          </xdr:txBody>
        </xdr:sp>
        <xdr:cxnSp macro="">
          <xdr:nvCxnSpPr>
            <xdr:cNvPr id="24" name="直線單箭頭接點 23">
              <a:extLst>
                <a:ext uri="{FF2B5EF4-FFF2-40B4-BE49-F238E27FC236}">
                  <a16:creationId xmlns:a16="http://schemas.microsoft.com/office/drawing/2014/main" id="{3EF9F2E7-AF97-48E6-BBBA-BA73FA6A9A4F}"/>
                </a:ext>
              </a:extLst>
            </xdr:cNvPr>
            <xdr:cNvCxnSpPr>
              <a:cxnSpLocks/>
              <a:endCxn id="18" idx="3"/>
            </xdr:cNvCxnSpPr>
          </xdr:nvCxnSpPr>
          <xdr:spPr>
            <a:xfrm>
              <a:off x="14963789" y="3799534"/>
              <a:ext cx="778635" cy="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25" name="直線單箭頭接點 24">
              <a:extLst>
                <a:ext uri="{FF2B5EF4-FFF2-40B4-BE49-F238E27FC236}">
                  <a16:creationId xmlns:a16="http://schemas.microsoft.com/office/drawing/2014/main" id="{B1548253-76F0-431F-A364-0CDAA80B1157}"/>
                </a:ext>
              </a:extLst>
            </xdr:cNvPr>
            <xdr:cNvCxnSpPr>
              <a:cxnSpLocks/>
              <a:endCxn id="18" idx="0"/>
            </xdr:cNvCxnSpPr>
          </xdr:nvCxnSpPr>
          <xdr:spPr>
            <a:xfrm flipV="1">
              <a:off x="14963789" y="2520254"/>
              <a:ext cx="516" cy="127928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6" name="文字方塊 20">
              <a:extLst>
                <a:ext uri="{FF2B5EF4-FFF2-40B4-BE49-F238E27FC236}">
                  <a16:creationId xmlns:a16="http://schemas.microsoft.com/office/drawing/2014/main" id="{60C2932D-F56A-421B-9A80-FF758A1DCD12}"/>
                </a:ext>
              </a:extLst>
            </xdr:cNvPr>
            <xdr:cNvSpPr txBox="1"/>
          </xdr:nvSpPr>
          <xdr:spPr>
            <a:xfrm>
              <a:off x="14692510" y="2605896"/>
              <a:ext cx="2888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7" name="文字方塊 21">
              <a:extLst>
                <a:ext uri="{FF2B5EF4-FFF2-40B4-BE49-F238E27FC236}">
                  <a16:creationId xmlns:a16="http://schemas.microsoft.com/office/drawing/2014/main" id="{5EB0E313-63DF-40E3-BD91-FECD7B0900E4}"/>
                </a:ext>
              </a:extLst>
            </xdr:cNvPr>
            <xdr:cNvSpPr txBox="1"/>
          </xdr:nvSpPr>
          <xdr:spPr>
            <a:xfrm>
              <a:off x="15462096" y="3426570"/>
              <a:ext cx="27603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A1622FB9-B1F8-4972-82A7-54C12E95FBCF}"/>
              </a:ext>
            </a:extLst>
          </xdr:cNvPr>
          <xdr:cNvSpPr/>
        </xdr:nvSpPr>
        <xdr:spPr>
          <a:xfrm>
            <a:off x="16410039" y="2123273"/>
            <a:ext cx="1802422" cy="1336431"/>
          </a:xfrm>
          <a:prstGeom prst="rect">
            <a:avLst/>
          </a:prstGeom>
          <a:solidFill>
            <a:schemeClr val="bg1"/>
          </a:solidFill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9" name="文字方塊 4">
            <a:extLst>
              <a:ext uri="{FF2B5EF4-FFF2-40B4-BE49-F238E27FC236}">
                <a16:creationId xmlns:a16="http://schemas.microsoft.com/office/drawing/2014/main" id="{A2F54718-6E48-46C6-8E5E-48963AED3BA1}"/>
              </a:ext>
            </a:extLst>
          </xdr:cNvPr>
          <xdr:cNvSpPr txBox="1"/>
        </xdr:nvSpPr>
        <xdr:spPr>
          <a:xfrm rot="16200000">
            <a:off x="15861020" y="2598794"/>
            <a:ext cx="76335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Width</a:t>
            </a:r>
            <a:endParaRPr lang="zh-TW" altLang="en-US"/>
          </a:p>
        </xdr:txBody>
      </xdr:sp>
      <xdr:sp macro="" textlink="">
        <xdr:nvSpPr>
          <xdr:cNvPr id="10" name="文字方塊 5">
            <a:extLst>
              <a:ext uri="{FF2B5EF4-FFF2-40B4-BE49-F238E27FC236}">
                <a16:creationId xmlns:a16="http://schemas.microsoft.com/office/drawing/2014/main" id="{44C1A3A8-9CA6-4046-A19C-1ABEF3284CF9}"/>
              </a:ext>
            </a:extLst>
          </xdr:cNvPr>
          <xdr:cNvSpPr txBox="1"/>
        </xdr:nvSpPr>
        <xdr:spPr>
          <a:xfrm>
            <a:off x="16955434" y="1736303"/>
            <a:ext cx="76232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Depth</a:t>
            </a:r>
            <a:endParaRPr lang="zh-TW" altLang="en-US"/>
          </a:p>
        </xdr:txBody>
      </xdr:sp>
      <xdr:sp macro="" textlink="">
        <xdr:nvSpPr>
          <xdr:cNvPr id="11" name="箭號: 向下 10">
            <a:extLst>
              <a:ext uri="{FF2B5EF4-FFF2-40B4-BE49-F238E27FC236}">
                <a16:creationId xmlns:a16="http://schemas.microsoft.com/office/drawing/2014/main" id="{BA5E320B-39D0-438C-A57B-44C853A22FFE}"/>
              </a:ext>
            </a:extLst>
          </xdr:cNvPr>
          <xdr:cNvSpPr/>
        </xdr:nvSpPr>
        <xdr:spPr>
          <a:xfrm>
            <a:off x="17130490" y="1142823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2" name="箭號: 向下 11">
            <a:extLst>
              <a:ext uri="{FF2B5EF4-FFF2-40B4-BE49-F238E27FC236}">
                <a16:creationId xmlns:a16="http://schemas.microsoft.com/office/drawing/2014/main" id="{C2BFCDFF-24AF-459D-9BFB-2FC57A447561}"/>
              </a:ext>
            </a:extLst>
          </xdr:cNvPr>
          <xdr:cNvSpPr/>
        </xdr:nvSpPr>
        <xdr:spPr>
          <a:xfrm rot="10800000">
            <a:off x="17130491" y="3574002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3" name="文字方塊 9">
            <a:extLst>
              <a:ext uri="{FF2B5EF4-FFF2-40B4-BE49-F238E27FC236}">
                <a16:creationId xmlns:a16="http://schemas.microsoft.com/office/drawing/2014/main" id="{08E126E2-B286-4C01-9C64-9FFEA257350E}"/>
              </a:ext>
            </a:extLst>
          </xdr:cNvPr>
          <xdr:cNvSpPr txBox="1"/>
        </xdr:nvSpPr>
        <xdr:spPr>
          <a:xfrm>
            <a:off x="16992375" y="672352"/>
            <a:ext cx="63671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Load</a:t>
            </a:r>
            <a:endParaRPr lang="zh-TW" altLang="en-US"/>
          </a:p>
        </xdr:txBody>
      </xdr:sp>
      <xdr:cxnSp macro="">
        <xdr:nvCxnSpPr>
          <xdr:cNvPr id="14" name="直線單箭頭接點 13">
            <a:extLst>
              <a:ext uri="{FF2B5EF4-FFF2-40B4-BE49-F238E27FC236}">
                <a16:creationId xmlns:a16="http://schemas.microsoft.com/office/drawing/2014/main" id="{235A8F9A-42EC-4FF8-887A-7A171AD1E53F}"/>
              </a:ext>
            </a:extLst>
          </xdr:cNvPr>
          <xdr:cNvCxnSpPr>
            <a:cxnSpLocks/>
            <a:endCxn id="8" idx="3"/>
          </xdr:cNvCxnSpPr>
        </xdr:nvCxnSpPr>
        <xdr:spPr>
          <a:xfrm>
            <a:off x="17310734" y="2787093"/>
            <a:ext cx="901727" cy="43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直線單箭頭接點 14">
            <a:extLst>
              <a:ext uri="{FF2B5EF4-FFF2-40B4-BE49-F238E27FC236}">
                <a16:creationId xmlns:a16="http://schemas.microsoft.com/office/drawing/2014/main" id="{80D163BF-62D5-4DD5-B541-CFC5FCE45D41}"/>
              </a:ext>
            </a:extLst>
          </xdr:cNvPr>
          <xdr:cNvCxnSpPr>
            <a:cxnSpLocks/>
            <a:endCxn id="8" idx="0"/>
          </xdr:cNvCxnSpPr>
        </xdr:nvCxnSpPr>
        <xdr:spPr>
          <a:xfrm flipV="1">
            <a:off x="17310734" y="2123273"/>
            <a:ext cx="516" cy="6638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文字方塊 15">
            <a:extLst>
              <a:ext uri="{FF2B5EF4-FFF2-40B4-BE49-F238E27FC236}">
                <a16:creationId xmlns:a16="http://schemas.microsoft.com/office/drawing/2014/main" id="{A0191C8C-A6FB-41DF-8EE4-50B9E0C2415B}"/>
              </a:ext>
            </a:extLst>
          </xdr:cNvPr>
          <xdr:cNvSpPr txBox="1"/>
        </xdr:nvSpPr>
        <xdr:spPr>
          <a:xfrm>
            <a:off x="17021872" y="2110031"/>
            <a:ext cx="28886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17" name="文字方塊 16">
            <a:extLst>
              <a:ext uri="{FF2B5EF4-FFF2-40B4-BE49-F238E27FC236}">
                <a16:creationId xmlns:a16="http://schemas.microsoft.com/office/drawing/2014/main" id="{6AE32E6E-3C1C-4A1F-9A35-8038310ABD10}"/>
              </a:ext>
            </a:extLst>
          </xdr:cNvPr>
          <xdr:cNvSpPr txBox="1"/>
        </xdr:nvSpPr>
        <xdr:spPr>
          <a:xfrm>
            <a:off x="17809041" y="2414129"/>
            <a:ext cx="27603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19</xdr:col>
      <xdr:colOff>288955</xdr:colOff>
      <xdr:row>5</xdr:row>
      <xdr:rowOff>67236</xdr:rowOff>
    </xdr:from>
    <xdr:to>
      <xdr:col>30</xdr:col>
      <xdr:colOff>421890</xdr:colOff>
      <xdr:row>23</xdr:row>
      <xdr:rowOff>4156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1743CCE-E98B-48E5-B8DB-50F741E20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9984" y="1075765"/>
          <a:ext cx="6789230" cy="3567626"/>
        </a:xfrm>
        <a:prstGeom prst="rect">
          <a:avLst/>
        </a:prstGeom>
      </xdr:spPr>
    </xdr:pic>
    <xdr:clientData/>
  </xdr:twoCellAnchor>
  <xdr:twoCellAnchor editAs="oneCell">
    <xdr:from>
      <xdr:col>19</xdr:col>
      <xdr:colOff>68401</xdr:colOff>
      <xdr:row>23</xdr:row>
      <xdr:rowOff>42697</xdr:rowOff>
    </xdr:from>
    <xdr:to>
      <xdr:col>31</xdr:col>
      <xdr:colOff>112059</xdr:colOff>
      <xdr:row>45</xdr:row>
      <xdr:rowOff>92836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89828D3-CD74-4003-B3B6-4C8B393F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59430" y="4681932"/>
          <a:ext cx="7305070" cy="44876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32279-8E54-4D99-BB24-22BACC62A108}" name="表格5_83" displayName="表格5_83" ref="G2:G8" totalsRowShown="0" headerRowDxfId="5" dataDxfId="3" headerRowBorderDxfId="4" tableBorderDxfId="2" totalsRowBorderDxfId="1">
  <autoFilter ref="G2:G8" xr:uid="{5DC3F126-9D91-4A58-B2A5-480D8855B45A}"/>
  <tableColumns count="1">
    <tableColumn id="1" xr3:uid="{AC62476C-F942-4C05-B9C4-037085AB8302}" name="Reb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E63-4CDE-4C16-B73C-7AD6CECF165B}">
  <dimension ref="A1:F2"/>
  <sheetViews>
    <sheetView workbookViewId="0">
      <selection activeCell="E2" sqref="E2:F2"/>
    </sheetView>
  </sheetViews>
  <sheetFormatPr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</row>
    <row r="2" spans="1:6" x14ac:dyDescent="0.25">
      <c r="A2">
        <f>Calculate!Q3</f>
        <v>40.687234193287047</v>
      </c>
      <c r="B2">
        <f>Calculate!R3</f>
        <v>5.0827119592562831E-3</v>
      </c>
      <c r="C2">
        <f>Calculate!S3</f>
        <v>23.744516950249437</v>
      </c>
      <c r="D2">
        <f>Calculate!T3</f>
        <v>2.449946916529059E-2</v>
      </c>
      <c r="E2">
        <f>Calculate!Q6</f>
        <v>1155233.4304712452</v>
      </c>
      <c r="F2">
        <f>Calculate!R6</f>
        <v>2455024145.438798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AF56-CBB5-4A47-A982-4F9E305DC624}">
  <dimension ref="A1:T43"/>
  <sheetViews>
    <sheetView tabSelected="1" zoomScale="85" zoomScaleNormal="85" workbookViewId="0">
      <selection activeCell="I18" sqref="I18"/>
    </sheetView>
  </sheetViews>
  <sheetFormatPr defaultRowHeight="15.75" x14ac:dyDescent="0.25"/>
  <cols>
    <col min="1" max="2" width="9.140625" style="8"/>
    <col min="3" max="3" width="13.5703125" style="8" customWidth="1"/>
    <col min="4" max="4" width="15.85546875" style="8" customWidth="1"/>
    <col min="5" max="6" width="9.140625" style="8"/>
    <col min="7" max="7" width="11.140625" style="8" customWidth="1"/>
    <col min="8" max="8" width="11.42578125" style="8" customWidth="1"/>
    <col min="9" max="9" width="14.42578125" style="8" bestFit="1" customWidth="1"/>
    <col min="10" max="10" width="14.140625" style="8" bestFit="1" customWidth="1"/>
    <col min="11" max="11" width="13" style="8" bestFit="1" customWidth="1"/>
    <col min="12" max="12" width="4.7109375" style="8" bestFit="1" customWidth="1"/>
    <col min="13" max="13" width="8.5703125" style="8" bestFit="1" customWidth="1"/>
    <col min="14" max="14" width="9.28515625" style="8" bestFit="1" customWidth="1"/>
    <col min="15" max="17" width="9.140625" style="8"/>
    <col min="18" max="18" width="12.28515625" style="8" bestFit="1" customWidth="1"/>
    <col min="19" max="16384" width="9.140625" style="8"/>
  </cols>
  <sheetData>
    <row r="1" spans="1:20" x14ac:dyDescent="0.25">
      <c r="B1" s="13" t="s">
        <v>54</v>
      </c>
      <c r="C1" s="13"/>
      <c r="D1" s="13"/>
    </row>
    <row r="2" spans="1:20" x14ac:dyDescent="0.25">
      <c r="G2" s="2" t="s">
        <v>23</v>
      </c>
      <c r="H2" s="3"/>
      <c r="I2" s="3" t="s">
        <v>19</v>
      </c>
      <c r="J2" s="3" t="s">
        <v>20</v>
      </c>
      <c r="K2" s="1" t="s">
        <v>21</v>
      </c>
      <c r="Q2" s="1" t="s">
        <v>0</v>
      </c>
      <c r="R2" s="1" t="s">
        <v>1</v>
      </c>
      <c r="S2" s="1" t="s">
        <v>2</v>
      </c>
      <c r="T2" s="1" t="s">
        <v>3</v>
      </c>
    </row>
    <row r="3" spans="1:20" x14ac:dyDescent="0.25">
      <c r="B3" s="14" t="s">
        <v>29</v>
      </c>
      <c r="C3" s="14"/>
      <c r="D3" s="14"/>
      <c r="G3" s="4" t="s">
        <v>5</v>
      </c>
      <c r="H3" s="3" t="s">
        <v>13</v>
      </c>
      <c r="I3" s="3">
        <f>3/8</f>
        <v>0.375</v>
      </c>
      <c r="J3" s="3">
        <f>I3*25.4</f>
        <v>9.5249999999999986</v>
      </c>
      <c r="K3" s="1">
        <f>PI()*J3^2/4</f>
        <v>71.255739248085604</v>
      </c>
      <c r="Q3" s="1">
        <f>I39</f>
        <v>40.687234193287047</v>
      </c>
      <c r="R3" s="1">
        <f>I40</f>
        <v>5.0827119592562831E-3</v>
      </c>
      <c r="S3" s="1">
        <f>I43</f>
        <v>23.744516950249437</v>
      </c>
      <c r="T3" s="1">
        <f>I42</f>
        <v>2.449946916529059E-2</v>
      </c>
    </row>
    <row r="4" spans="1:20" x14ac:dyDescent="0.25">
      <c r="B4" s="12" t="s">
        <v>53</v>
      </c>
      <c r="C4" s="12"/>
      <c r="D4" s="6">
        <v>500</v>
      </c>
      <c r="G4" s="4" t="s">
        <v>7</v>
      </c>
      <c r="H4" s="3" t="s">
        <v>14</v>
      </c>
      <c r="I4" s="3">
        <f>4/8</f>
        <v>0.5</v>
      </c>
      <c r="J4" s="3">
        <f t="shared" ref="J4:J8" si="0">I4*25.4</f>
        <v>12.7</v>
      </c>
      <c r="K4" s="1">
        <f t="shared" ref="K4:K8" si="1">PI()*J4^2/4</f>
        <v>126.67686977437442</v>
      </c>
    </row>
    <row r="5" spans="1:20" x14ac:dyDescent="0.25">
      <c r="B5" s="12" t="s">
        <v>85</v>
      </c>
      <c r="C5" s="12"/>
      <c r="D5" s="6">
        <v>750</v>
      </c>
      <c r="G5" s="4" t="s">
        <v>9</v>
      </c>
      <c r="H5" s="3" t="s">
        <v>15</v>
      </c>
      <c r="I5" s="3">
        <f>5/8</f>
        <v>0.625</v>
      </c>
      <c r="J5" s="3">
        <f t="shared" si="0"/>
        <v>15.875</v>
      </c>
      <c r="K5" s="1">
        <f t="shared" si="1"/>
        <v>197.93260902246004</v>
      </c>
      <c r="Q5" s="1" t="s">
        <v>68</v>
      </c>
      <c r="R5" s="1" t="s">
        <v>69</v>
      </c>
      <c r="S5" s="9"/>
      <c r="T5" s="10"/>
    </row>
    <row r="6" spans="1:20" x14ac:dyDescent="0.25">
      <c r="B6" s="12" t="s">
        <v>26</v>
      </c>
      <c r="C6" s="12"/>
      <c r="D6" s="6">
        <v>24</v>
      </c>
      <c r="G6" s="4" t="s">
        <v>10</v>
      </c>
      <c r="H6" s="3" t="s">
        <v>16</v>
      </c>
      <c r="I6" s="3">
        <f>6/8</f>
        <v>0.75</v>
      </c>
      <c r="J6" s="3">
        <f t="shared" si="0"/>
        <v>19.049999999999997</v>
      </c>
      <c r="K6" s="1">
        <f t="shared" si="1"/>
        <v>285.02295699234242</v>
      </c>
      <c r="Q6" s="1">
        <f>D40</f>
        <v>1155233.4304712452</v>
      </c>
      <c r="R6" s="1">
        <f>D41</f>
        <v>2455024145.438798</v>
      </c>
      <c r="S6" s="9"/>
      <c r="T6" s="10"/>
    </row>
    <row r="7" spans="1:20" x14ac:dyDescent="0.25">
      <c r="B7" s="12" t="s">
        <v>86</v>
      </c>
      <c r="C7" s="12"/>
      <c r="D7" s="6">
        <v>24</v>
      </c>
      <c r="G7" s="4" t="s">
        <v>11</v>
      </c>
      <c r="H7" s="3" t="s">
        <v>17</v>
      </c>
      <c r="I7" s="3">
        <f>7/8</f>
        <v>0.875</v>
      </c>
      <c r="J7" s="3">
        <f t="shared" si="0"/>
        <v>22.224999999999998</v>
      </c>
      <c r="K7" s="1">
        <f t="shared" si="1"/>
        <v>387.94791368402161</v>
      </c>
    </row>
    <row r="8" spans="1:20" x14ac:dyDescent="0.25">
      <c r="B8"/>
      <c r="C8"/>
      <c r="D8"/>
      <c r="G8" s="5" t="s">
        <v>12</v>
      </c>
      <c r="H8" s="3" t="s">
        <v>18</v>
      </c>
      <c r="I8" s="3">
        <f>8/8</f>
        <v>1</v>
      </c>
      <c r="J8" s="3">
        <f t="shared" si="0"/>
        <v>25.4</v>
      </c>
      <c r="K8" s="1">
        <f t="shared" si="1"/>
        <v>506.7074790974977</v>
      </c>
    </row>
    <row r="9" spans="1:20" x14ac:dyDescent="0.25">
      <c r="B9" s="14" t="s">
        <v>30</v>
      </c>
      <c r="C9" s="14"/>
      <c r="D9" s="14"/>
    </row>
    <row r="10" spans="1:20" x14ac:dyDescent="0.25">
      <c r="B10" s="12" t="s">
        <v>22</v>
      </c>
      <c r="C10" s="15"/>
      <c r="D10" s="6">
        <v>110</v>
      </c>
      <c r="G10" s="12" t="s">
        <v>87</v>
      </c>
      <c r="H10" s="12"/>
      <c r="I10" s="8" t="s">
        <v>65</v>
      </c>
      <c r="J10" s="8" t="s">
        <v>44</v>
      </c>
      <c r="Q10" s="12" t="s">
        <v>72</v>
      </c>
      <c r="R10" s="12"/>
    </row>
    <row r="11" spans="1:20" x14ac:dyDescent="0.25">
      <c r="A11"/>
      <c r="B11" s="12" t="s">
        <v>24</v>
      </c>
      <c r="C11" s="15"/>
      <c r="D11" s="6" t="s">
        <v>4</v>
      </c>
      <c r="I11" s="6">
        <v>2</v>
      </c>
      <c r="J11" s="6" t="s">
        <v>4</v>
      </c>
      <c r="L11" s="8" t="s">
        <v>39</v>
      </c>
      <c r="M11" s="8" t="s">
        <v>40</v>
      </c>
      <c r="N11" s="8" t="s">
        <v>42</v>
      </c>
      <c r="Q11" s="8" t="s">
        <v>73</v>
      </c>
      <c r="R11" s="8">
        <v>25.4</v>
      </c>
    </row>
    <row r="12" spans="1:20" x14ac:dyDescent="0.25">
      <c r="B12" s="12" t="s">
        <v>46</v>
      </c>
      <c r="C12" s="15"/>
      <c r="D12" s="6">
        <v>412</v>
      </c>
      <c r="I12" s="6">
        <v>2</v>
      </c>
      <c r="J12" s="6" t="s">
        <v>6</v>
      </c>
      <c r="L12" s="6">
        <v>200</v>
      </c>
      <c r="M12" s="7">
        <f t="shared" ref="M12:M17" si="2">L12-VLOOKUP($D$22, $G$3:$K$8, 4, FALSE)</f>
        <v>177.77500000000001</v>
      </c>
      <c r="N12" s="8">
        <f>M12^2</f>
        <v>31603.950625000001</v>
      </c>
      <c r="Q12" s="8" t="s">
        <v>77</v>
      </c>
      <c r="R12" s="8">
        <v>304.8</v>
      </c>
    </row>
    <row r="13" spans="1:20" x14ac:dyDescent="0.25">
      <c r="B13" s="12" t="s">
        <v>33</v>
      </c>
      <c r="C13" s="15"/>
      <c r="D13" s="6">
        <v>1</v>
      </c>
      <c r="I13" s="6">
        <v>0</v>
      </c>
      <c r="J13" s="6" t="s">
        <v>8</v>
      </c>
      <c r="L13" s="6">
        <v>260</v>
      </c>
      <c r="M13" s="7">
        <f t="shared" si="2"/>
        <v>237.77500000000001</v>
      </c>
      <c r="N13" s="8">
        <f t="shared" ref="N13:N17" si="3">M13^2</f>
        <v>56536.950625000005</v>
      </c>
      <c r="Q13" s="8" t="s">
        <v>74</v>
      </c>
      <c r="R13" s="8">
        <v>6.8947590867753696</v>
      </c>
    </row>
    <row r="14" spans="1:20" x14ac:dyDescent="0.25">
      <c r="B14" s="12" t="s">
        <v>25</v>
      </c>
      <c r="C14" s="12"/>
      <c r="D14" s="8">
        <f>D10-D13*VLOOKUP(D11,G3:K8,4,FALSE)</f>
        <v>100.47499999999999</v>
      </c>
      <c r="I14"/>
      <c r="J14"/>
      <c r="L14" s="6">
        <v>200</v>
      </c>
      <c r="M14" s="7">
        <f t="shared" si="2"/>
        <v>177.77500000000001</v>
      </c>
      <c r="N14" s="8">
        <f t="shared" si="3"/>
        <v>31603.950625000001</v>
      </c>
      <c r="Q14" s="8" t="s">
        <v>76</v>
      </c>
      <c r="R14" s="8">
        <v>6.8947573000000002E-3</v>
      </c>
    </row>
    <row r="15" spans="1:20" x14ac:dyDescent="0.25">
      <c r="B15" s="12" t="s">
        <v>27</v>
      </c>
      <c r="C15" s="12"/>
      <c r="D15" s="8">
        <f>D4-2*D7-VLOOKUP(D11, G3:K8, 4,FALSE )</f>
        <v>442.47500000000002</v>
      </c>
      <c r="G15" s="12" t="s">
        <v>45</v>
      </c>
      <c r="H15" s="12"/>
      <c r="I15" s="8" t="s">
        <v>65</v>
      </c>
      <c r="J15" s="8" t="s">
        <v>44</v>
      </c>
      <c r="L15" s="6">
        <v>140</v>
      </c>
      <c r="M15" s="7">
        <f t="shared" si="2"/>
        <v>117.77500000000001</v>
      </c>
      <c r="N15" s="8">
        <f t="shared" si="3"/>
        <v>13870.950625000001</v>
      </c>
      <c r="Q15" s="8" t="s">
        <v>75</v>
      </c>
      <c r="R15" s="8">
        <v>9.8070000000000004E-2</v>
      </c>
    </row>
    <row r="16" spans="1:20" x14ac:dyDescent="0.25">
      <c r="B16" s="12" t="s">
        <v>28</v>
      </c>
      <c r="C16" s="12"/>
      <c r="D16" s="8">
        <f>D5-2*D6-VLOOKUP(D11, G3:K8, 4,FALSE )</f>
        <v>692.47500000000002</v>
      </c>
      <c r="I16" s="6">
        <v>4</v>
      </c>
      <c r="J16" s="6" t="s">
        <v>4</v>
      </c>
      <c r="L16" s="6">
        <v>130</v>
      </c>
      <c r="M16" s="7">
        <f t="shared" si="2"/>
        <v>107.77500000000001</v>
      </c>
      <c r="N16" s="8">
        <f t="shared" si="3"/>
        <v>11615.450625000001</v>
      </c>
    </row>
    <row r="17" spans="2:14" x14ac:dyDescent="0.25">
      <c r="B17" s="12" t="s">
        <v>35</v>
      </c>
      <c r="C17" s="12"/>
      <c r="D17" s="8">
        <f>D13*VLOOKUP(D11,G3:K8,5,FALSE)</f>
        <v>71.255739248085604</v>
      </c>
      <c r="I17" s="6">
        <v>0</v>
      </c>
      <c r="J17" s="6" t="s">
        <v>6</v>
      </c>
      <c r="L17" s="6">
        <v>140</v>
      </c>
      <c r="M17" s="7">
        <f t="shared" si="2"/>
        <v>117.77500000000001</v>
      </c>
      <c r="N17" s="8">
        <f t="shared" si="3"/>
        <v>13870.950625000001</v>
      </c>
    </row>
    <row r="18" spans="2:14" x14ac:dyDescent="0.25">
      <c r="B18" s="12" t="s">
        <v>37</v>
      </c>
      <c r="C18" s="12"/>
      <c r="D18" s="8">
        <f>D15*D16</f>
        <v>306402.87562500004</v>
      </c>
      <c r="I18" s="6">
        <v>0</v>
      </c>
      <c r="J18" s="6" t="s">
        <v>8</v>
      </c>
      <c r="L18" s="16">
        <v>200</v>
      </c>
      <c r="M18" s="7">
        <f t="shared" ref="M18:M23" si="4">L18-VLOOKUP($D$22, $G$3:$K$8, 4, FALSE)</f>
        <v>177.77500000000001</v>
      </c>
      <c r="N18" s="11">
        <f t="shared" ref="N18:N23" si="5">M18^2</f>
        <v>31603.950625000001</v>
      </c>
    </row>
    <row r="19" spans="2:14" x14ac:dyDescent="0.25">
      <c r="L19" s="16">
        <v>260</v>
      </c>
      <c r="M19" s="7">
        <f t="shared" si="4"/>
        <v>237.77500000000001</v>
      </c>
      <c r="N19" s="11">
        <f t="shared" si="5"/>
        <v>56536.950625000005</v>
      </c>
    </row>
    <row r="20" spans="2:14" x14ac:dyDescent="0.25">
      <c r="G20" s="14" t="s">
        <v>48</v>
      </c>
      <c r="H20" s="14"/>
      <c r="I20" s="14"/>
      <c r="L20" s="16">
        <v>200</v>
      </c>
      <c r="M20" s="7">
        <f t="shared" si="4"/>
        <v>177.77500000000001</v>
      </c>
      <c r="N20" s="11">
        <f t="shared" si="5"/>
        <v>31603.950625000001</v>
      </c>
    </row>
    <row r="21" spans="2:14" x14ac:dyDescent="0.25">
      <c r="B21" s="14" t="s">
        <v>32</v>
      </c>
      <c r="C21" s="14"/>
      <c r="D21" s="14"/>
      <c r="G21" s="12" t="s">
        <v>49</v>
      </c>
      <c r="H21" s="12"/>
      <c r="I21" s="6">
        <v>31.1</v>
      </c>
      <c r="L21" s="16">
        <v>140</v>
      </c>
      <c r="M21" s="7">
        <f t="shared" si="4"/>
        <v>117.77500000000001</v>
      </c>
      <c r="N21" s="11">
        <f t="shared" si="5"/>
        <v>13870.950625000001</v>
      </c>
    </row>
    <row r="22" spans="2:14" x14ac:dyDescent="0.25">
      <c r="B22" s="12" t="s">
        <v>31</v>
      </c>
      <c r="C22" s="15"/>
      <c r="D22" s="6" t="s">
        <v>90</v>
      </c>
      <c r="G22" s="12" t="s">
        <v>50</v>
      </c>
      <c r="H22" s="12"/>
      <c r="I22" s="8">
        <v>2E-3</v>
      </c>
      <c r="L22" s="16">
        <v>130</v>
      </c>
      <c r="M22" s="7">
        <f t="shared" si="4"/>
        <v>107.77500000000001</v>
      </c>
      <c r="N22" s="11">
        <f t="shared" si="5"/>
        <v>11615.450625000001</v>
      </c>
    </row>
    <row r="23" spans="2:14" x14ac:dyDescent="0.25">
      <c r="B23" s="12" t="s">
        <v>34</v>
      </c>
      <c r="C23" s="12"/>
      <c r="D23" s="6">
        <v>14</v>
      </c>
      <c r="G23" s="12" t="s">
        <v>51</v>
      </c>
      <c r="H23" s="12"/>
      <c r="I23" s="8">
        <v>5.0000000000000001E-3</v>
      </c>
      <c r="L23" s="16">
        <v>140</v>
      </c>
      <c r="M23" s="7">
        <f t="shared" si="4"/>
        <v>117.77500000000001</v>
      </c>
      <c r="N23" s="11">
        <f t="shared" si="5"/>
        <v>13870.950625000001</v>
      </c>
    </row>
    <row r="24" spans="2:14" x14ac:dyDescent="0.25">
      <c r="B24" s="12" t="s">
        <v>47</v>
      </c>
      <c r="C24" s="15"/>
      <c r="D24" s="6">
        <v>412</v>
      </c>
      <c r="G24" s="12" t="s">
        <v>52</v>
      </c>
      <c r="H24" s="12"/>
      <c r="I24" s="8">
        <f>15000*SQRT(I21*100/9.8)*0.8*9.8/100</f>
        <v>20949.539374411077</v>
      </c>
      <c r="L24"/>
      <c r="M24"/>
      <c r="N24"/>
    </row>
    <row r="25" spans="2:14" x14ac:dyDescent="0.25">
      <c r="B25" s="12" t="s">
        <v>36</v>
      </c>
      <c r="C25" s="12"/>
      <c r="D25" s="8">
        <f>D23*VLOOKUP(D22, G3:K8, 5,FALSE  )</f>
        <v>5431.2707915763021</v>
      </c>
      <c r="L25"/>
      <c r="M25"/>
      <c r="N25"/>
    </row>
    <row r="26" spans="2:14" x14ac:dyDescent="0.25">
      <c r="B26" s="12" t="s">
        <v>38</v>
      </c>
      <c r="C26" s="12"/>
      <c r="D26" s="8">
        <f>D25/D18</f>
        <v>1.7725913245747467E-2</v>
      </c>
      <c r="G26" s="14" t="s">
        <v>41</v>
      </c>
      <c r="H26" s="14"/>
      <c r="I26" s="14"/>
      <c r="L26"/>
      <c r="M26"/>
      <c r="N26"/>
    </row>
    <row r="27" spans="2:14" x14ac:dyDescent="0.25">
      <c r="B27" s="12" t="s">
        <v>66</v>
      </c>
      <c r="C27" s="12"/>
      <c r="D27" s="8">
        <f>D25/D4/D5</f>
        <v>1.4483388777536806E-2</v>
      </c>
      <c r="G27" s="12" t="s">
        <v>57</v>
      </c>
      <c r="H27" s="12"/>
      <c r="I27" s="8">
        <f>(D18-SUM(N:N)/6)*(1-D14/2/D16)*(1-D14/2/D15)</f>
        <v>208307.58467737961</v>
      </c>
      <c r="K27"/>
      <c r="L27"/>
      <c r="M27"/>
      <c r="N27"/>
    </row>
    <row r="28" spans="2:14" x14ac:dyDescent="0.25">
      <c r="G28" s="12" t="s">
        <v>56</v>
      </c>
      <c r="H28" s="12"/>
      <c r="I28" s="8">
        <f>I27/(1-D26)/D18</f>
        <v>0.69211706796283945</v>
      </c>
    </row>
    <row r="29" spans="2:14" x14ac:dyDescent="0.25">
      <c r="G29" s="12" t="s">
        <v>88</v>
      </c>
      <c r="H29" s="12"/>
      <c r="I29" s="8">
        <f>(I11*VLOOKUP(J11, G3:K8, 5, FALSE) + I12*VLOOKUP(J12, G3:K8, 5, FALSE) + I13*VLOOKUP(J13, G3:K8, 5, FALSE))/D16/D10</f>
        <v>5.1969742005116048E-3</v>
      </c>
    </row>
    <row r="30" spans="2:14" x14ac:dyDescent="0.25">
      <c r="B30" s="10" t="s">
        <v>67</v>
      </c>
      <c r="C30" s="10">
        <v>0.2</v>
      </c>
      <c r="G30" s="12" t="s">
        <v>43</v>
      </c>
      <c r="H30" s="12"/>
      <c r="I30" s="8">
        <f>(I16*VLOOKUP(J16, G3:K8, 5, FALSE) + I17*VLOOKUP(J17, G3:K8, 5, FALSE)+ I18*VLOOKUP(J18, G3:K8, 5, FALSE))/D15/D10</f>
        <v>5.8559642710649786E-3</v>
      </c>
    </row>
    <row r="31" spans="2:14" x14ac:dyDescent="0.25">
      <c r="B31" s="14" t="s">
        <v>70</v>
      </c>
      <c r="C31" s="14"/>
      <c r="D31" s="14"/>
      <c r="G31" s="12" t="s">
        <v>55</v>
      </c>
      <c r="H31" s="12"/>
      <c r="I31" s="8">
        <f>I29+I30</f>
        <v>1.1052938471576583E-2</v>
      </c>
    </row>
    <row r="32" spans="2:14" x14ac:dyDescent="0.25">
      <c r="B32" s="12" t="s">
        <v>71</v>
      </c>
      <c r="C32" s="12"/>
      <c r="D32" s="8">
        <f>I24/(2*(1+C30))</f>
        <v>8728.9747393379494</v>
      </c>
      <c r="G32" s="12" t="s">
        <v>89</v>
      </c>
      <c r="H32" s="12"/>
      <c r="I32" s="8">
        <f>I28*I29*$D$12</f>
        <v>1.4819287929258849</v>
      </c>
    </row>
    <row r="33" spans="2:9" x14ac:dyDescent="0.25">
      <c r="B33" s="12" t="s">
        <v>78</v>
      </c>
      <c r="C33" s="12"/>
      <c r="D33" s="8">
        <f>IF(I31*D12&gt;2.42, 2.42, I31*D12)</f>
        <v>2.42</v>
      </c>
      <c r="E33" s="8">
        <f>D12*I31</f>
        <v>4.5538106502895523</v>
      </c>
      <c r="G33" s="12" t="s">
        <v>58</v>
      </c>
      <c r="H33" s="12"/>
      <c r="I33" s="8">
        <f>I28*I30*D12</f>
        <v>1.6698412824104714</v>
      </c>
    </row>
    <row r="34" spans="2:9" x14ac:dyDescent="0.25">
      <c r="B34" s="12" t="s">
        <v>79</v>
      </c>
      <c r="C34" s="12"/>
      <c r="D34" s="8">
        <f>IF(D33/12.5+0.305-0.083*3&lt;0.0025, 0.0025, IF(D33/12.5+0.305-0.083*3&gt;0.25, 0.25, D33/12.5+0.305-0.083*3))</f>
        <v>0.24959999999999999</v>
      </c>
      <c r="E34" s="8">
        <f>D33/12.5+0.305-0.083*3</f>
        <v>0.24959999999999999</v>
      </c>
      <c r="G34" s="12" t="s">
        <v>59</v>
      </c>
      <c r="H34" s="12"/>
      <c r="I34" s="8">
        <f>(I32+I33)/2/I21</f>
        <v>5.0671544619555565E-2</v>
      </c>
    </row>
    <row r="35" spans="2:9" x14ac:dyDescent="0.25">
      <c r="B35" s="12" t="s">
        <v>80</v>
      </c>
      <c r="C35" s="12"/>
      <c r="D35" s="8">
        <f>0.0867*(D4*D5)*I21/13.8/(D4*D5)</f>
        <v>0.19538913043478259</v>
      </c>
      <c r="G35" s="12" t="s">
        <v>60</v>
      </c>
      <c r="H35" s="12"/>
      <c r="I35" s="8">
        <f>MIN(I32, I33)/MAX(I32, I33)</f>
        <v>0.88746685600362651</v>
      </c>
    </row>
    <row r="36" spans="2:9" x14ac:dyDescent="0.25">
      <c r="B36" s="12" t="s">
        <v>81</v>
      </c>
      <c r="C36" s="12"/>
      <c r="D36" s="8">
        <f>IF(1+D35&gt;1.5, 1.5, 1+D35)</f>
        <v>1.1953891304347826</v>
      </c>
      <c r="E36" s="8">
        <f>1+D35</f>
        <v>1.1953891304347826</v>
      </c>
      <c r="G36" s="12" t="s">
        <v>61</v>
      </c>
      <c r="H36" s="12"/>
      <c r="I36" s="8">
        <f>6.8886-(0.6069+17.275*I35)*EXP(1)^(-4.989*I35)</f>
        <v>6.6982465849313853</v>
      </c>
    </row>
    <row r="37" spans="2:9" x14ac:dyDescent="0.25">
      <c r="B37" s="12" t="s">
        <v>83</v>
      </c>
      <c r="C37" s="12"/>
      <c r="D37" s="8">
        <f>IF(D34*D36*SQRT(I21)&gt;0.33*SQRT(I21), 0.33*SQRT(I21), D34*D36*SQRT(I21))</f>
        <v>1.6639262685398013</v>
      </c>
      <c r="G37" s="12" t="s">
        <v>62</v>
      </c>
      <c r="H37" s="12"/>
      <c r="I37" s="8">
        <f>4.5/(5/I36*(0.9849-0.6306*EXP(1)^(-3.989*I35))-0.1)-5</f>
        <v>2.2401197482821358</v>
      </c>
    </row>
    <row r="38" spans="2:9" x14ac:dyDescent="0.25">
      <c r="B38" s="12" t="s">
        <v>82</v>
      </c>
      <c r="C38" s="12"/>
      <c r="D38" s="8">
        <f>0.8*D4*D5*D37</f>
        <v>499177.88056194037</v>
      </c>
      <c r="G38" s="12" t="s">
        <v>63</v>
      </c>
      <c r="H38" s="12"/>
      <c r="I38" s="8">
        <f>1+I36*I34*(0.1+0.9/(1+I37*I34))</f>
        <v>1.3082711959256283</v>
      </c>
    </row>
    <row r="39" spans="2:9" x14ac:dyDescent="0.25">
      <c r="B39" s="12" t="s">
        <v>84</v>
      </c>
      <c r="C39" s="12"/>
      <c r="D39" s="8">
        <f>(I11*VLOOKUP(J11, G3:K8, 5, FALSE) + I12*VLOOKUP(J12, G3:K8, 5, FALSE) + I13*VLOOKUP(J13, G3:K8, 5, FALSE))*D12*D15/D10</f>
        <v>656055.54990930471</v>
      </c>
      <c r="G39" s="12" t="s">
        <v>0</v>
      </c>
      <c r="H39" s="12"/>
      <c r="I39" s="8">
        <f>I21*I38</f>
        <v>40.687234193287047</v>
      </c>
    </row>
    <row r="40" spans="2:9" x14ac:dyDescent="0.25">
      <c r="B40" s="12" t="s">
        <v>68</v>
      </c>
      <c r="C40" s="12"/>
      <c r="D40" s="8">
        <f>D38+D39</f>
        <v>1155233.4304712452</v>
      </c>
      <c r="G40" s="12" t="s">
        <v>1</v>
      </c>
      <c r="H40" s="12"/>
      <c r="I40" s="8">
        <f>I22*(1+5*(I39/I21-1))</f>
        <v>5.0827119592562831E-3</v>
      </c>
    </row>
    <row r="41" spans="2:9" x14ac:dyDescent="0.25">
      <c r="B41" s="12" t="s">
        <v>69</v>
      </c>
      <c r="C41" s="12"/>
      <c r="D41" s="8">
        <f>3/4*D32*D4*D5</f>
        <v>2455024145.438798</v>
      </c>
      <c r="G41" s="12" t="s">
        <v>64</v>
      </c>
      <c r="H41" s="12"/>
      <c r="I41" s="8">
        <f>I24/(I24-I39/I40)</f>
        <v>1.6184105557866257</v>
      </c>
    </row>
    <row r="42" spans="2:9" x14ac:dyDescent="0.25">
      <c r="G42" s="12" t="s">
        <v>3</v>
      </c>
      <c r="H42" s="12"/>
      <c r="I42" s="8">
        <f>0.004+0.14*D12/I21*I31</f>
        <v>2.449946916529059E-2</v>
      </c>
    </row>
    <row r="43" spans="2:9" x14ac:dyDescent="0.25">
      <c r="G43" s="12" t="s">
        <v>2</v>
      </c>
      <c r="H43" s="12"/>
      <c r="I43" s="8">
        <f>I39*I42/I40*I41/(I41-1+POWER(I42/I40, I41))</f>
        <v>23.744516950249437</v>
      </c>
    </row>
  </sheetData>
  <mergeCells count="60">
    <mergeCell ref="B41:C41"/>
    <mergeCell ref="G41:H41"/>
    <mergeCell ref="G42:H42"/>
    <mergeCell ref="G43:H43"/>
    <mergeCell ref="B38:C38"/>
    <mergeCell ref="G38:H38"/>
    <mergeCell ref="B39:C39"/>
    <mergeCell ref="G39:H39"/>
    <mergeCell ref="B40:C40"/>
    <mergeCell ref="G40:H40"/>
    <mergeCell ref="B35:C35"/>
    <mergeCell ref="G35:H35"/>
    <mergeCell ref="B36:C36"/>
    <mergeCell ref="G36:H36"/>
    <mergeCell ref="B37:C37"/>
    <mergeCell ref="G37:H37"/>
    <mergeCell ref="B32:C32"/>
    <mergeCell ref="G32:H32"/>
    <mergeCell ref="B33:C33"/>
    <mergeCell ref="G33:H33"/>
    <mergeCell ref="B34:C34"/>
    <mergeCell ref="G34:H34"/>
    <mergeCell ref="B31:D31"/>
    <mergeCell ref="G31:H31"/>
    <mergeCell ref="B23:C23"/>
    <mergeCell ref="G23:H23"/>
    <mergeCell ref="B24:C24"/>
    <mergeCell ref="G24:H24"/>
    <mergeCell ref="B25:C25"/>
    <mergeCell ref="B26:C26"/>
    <mergeCell ref="G26:I26"/>
    <mergeCell ref="B27:C27"/>
    <mergeCell ref="G27:H27"/>
    <mergeCell ref="G28:H28"/>
    <mergeCell ref="G29:H29"/>
    <mergeCell ref="G30:H30"/>
    <mergeCell ref="B18:C18"/>
    <mergeCell ref="G20:I20"/>
    <mergeCell ref="B21:D21"/>
    <mergeCell ref="G21:H21"/>
    <mergeCell ref="B22:C22"/>
    <mergeCell ref="G22:H22"/>
    <mergeCell ref="B17:C17"/>
    <mergeCell ref="B9:D9"/>
    <mergeCell ref="B10:C10"/>
    <mergeCell ref="G10:H10"/>
    <mergeCell ref="Q10:R10"/>
    <mergeCell ref="B11:C11"/>
    <mergeCell ref="B12:C12"/>
    <mergeCell ref="B13:C13"/>
    <mergeCell ref="B14:C14"/>
    <mergeCell ref="B15:C15"/>
    <mergeCell ref="G15:H15"/>
    <mergeCell ref="B16:C16"/>
    <mergeCell ref="B7:C7"/>
    <mergeCell ref="B1:D1"/>
    <mergeCell ref="B3:D3"/>
    <mergeCell ref="B4:C4"/>
    <mergeCell ref="B5:C5"/>
    <mergeCell ref="B6:C6"/>
  </mergeCells>
  <phoneticPr fontId="1" type="noConversion"/>
  <dataValidations count="1">
    <dataValidation type="list" showInputMessage="1" showErrorMessage="1" promptTitle="Rebar Type" sqref="D22 D11 J11:J13 J16:J18" xr:uid="{42391F5F-F44F-4EA8-B2B9-076300927BF6}">
      <formula1>$G$3:$G$8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吳亭諺</cp:lastModifiedBy>
  <dcterms:created xsi:type="dcterms:W3CDTF">2015-06-05T18:19:34Z</dcterms:created>
  <dcterms:modified xsi:type="dcterms:W3CDTF">2023-12-15T05:40:06Z</dcterms:modified>
</cp:coreProperties>
</file>