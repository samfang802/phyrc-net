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Dq8lva6y4B6rxdcNYhI+yoTTO+oKWVPCtvQ6TC6p164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<sst xmlns="http://schemas.openxmlformats.org/spreadsheetml/2006/main" count="109" uniqueCount="87">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</sst>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6734175" cy="41433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125.5754067</v>
      </c>
      <c r="B2" s="2">
        <f>Calculate!R3</f>
        <v>0.006601791476</v>
      </c>
      <c r="C2" s="2">
        <f>Calculate!S3</f>
        <v>35.12443948</v>
      </c>
      <c r="D2" s="2">
        <f>Calculate!T3</f>
        <v>0.03585656438</v>
      </c>
      <c r="E2" s="2">
        <f>Calculate!Q6</f>
        <v>624978.2765</v>
      </c>
      <c r="F2" s="2">
        <f>Calculate!R6</f>
        <v>702361931.4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125.5754067</v>
      </c>
      <c r="R3" s="1">
        <f>I40</f>
        <v>0.006601791476</v>
      </c>
      <c r="S3" s="1">
        <f>I43</f>
        <v>35.12443948</v>
      </c>
      <c r="T3" s="1">
        <f>I42</f>
        <v>0.03585656438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254.0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254.0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13.0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624978.2765</v>
      </c>
      <c r="R6" s="1">
        <f>D41</f>
        <v>702361931.4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13.0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51.0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3.0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510.0</v>
      </c>
      <c r="E12" s="3"/>
      <c r="F12" s="3"/>
      <c r="G12" s="3"/>
      <c r="H12" s="3"/>
      <c r="I12" s="13"/>
      <c r="J12" s="13" t="s">
        <v>15</v>
      </c>
      <c r="K12" s="3"/>
      <c r="L12" s="13">
        <f t="shared" ref="L12:L19" si="3">25.4*7.625/2</f>
        <v>96.8375</v>
      </c>
      <c r="M12" s="14">
        <f t="shared" ref="M12:M19" si="4">L12-VLOOKUP($D$22, $G$3:$K$8, 4, FALSE)</f>
        <v>80.9625</v>
      </c>
      <c r="N12" s="3">
        <f t="shared" ref="N12:N19" si="5">M12^2</f>
        <v>6554.926406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13">
        <f t="shared" si="3"/>
        <v>96.8375</v>
      </c>
      <c r="M13" s="14">
        <f t="shared" si="4"/>
        <v>80.9625</v>
      </c>
      <c r="N13" s="3">
        <f t="shared" si="5"/>
        <v>6554.926406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41.475</v>
      </c>
      <c r="E14" s="3"/>
      <c r="F14" s="3"/>
      <c r="G14" s="3"/>
      <c r="H14" s="3"/>
      <c r="K14" s="3"/>
      <c r="L14" s="13">
        <f t="shared" si="3"/>
        <v>96.8375</v>
      </c>
      <c r="M14" s="14">
        <f t="shared" si="4"/>
        <v>80.9625</v>
      </c>
      <c r="N14" s="3">
        <f t="shared" si="5"/>
        <v>6554.926406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218.475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 t="shared" si="3"/>
        <v>96.8375</v>
      </c>
      <c r="M15" s="14">
        <f t="shared" si="4"/>
        <v>80.9625</v>
      </c>
      <c r="N15" s="3">
        <f t="shared" si="5"/>
        <v>6554.926406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218.475</v>
      </c>
      <c r="E16" s="3"/>
      <c r="F16" s="3"/>
      <c r="G16" s="3"/>
      <c r="H16" s="3"/>
      <c r="I16" s="9">
        <v>3.0</v>
      </c>
      <c r="J16" s="13" t="s">
        <v>12</v>
      </c>
      <c r="K16" s="3"/>
      <c r="L16" s="13">
        <f t="shared" si="3"/>
        <v>96.8375</v>
      </c>
      <c r="M16" s="14">
        <f t="shared" si="4"/>
        <v>80.9625</v>
      </c>
      <c r="N16" s="3">
        <f t="shared" si="5"/>
        <v>6554.926406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13">
        <f t="shared" si="3"/>
        <v>96.8375</v>
      </c>
      <c r="M17" s="14">
        <f t="shared" si="4"/>
        <v>80.9625</v>
      </c>
      <c r="N17" s="3">
        <f t="shared" si="5"/>
        <v>6554.926406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47731.32563</v>
      </c>
      <c r="E18" s="3"/>
      <c r="F18" s="3"/>
      <c r="G18" s="3"/>
      <c r="H18" s="3"/>
      <c r="I18" s="13"/>
      <c r="J18" s="13" t="s">
        <v>18</v>
      </c>
      <c r="K18" s="3"/>
      <c r="L18" s="13">
        <f t="shared" si="3"/>
        <v>96.8375</v>
      </c>
      <c r="M18" s="14">
        <f t="shared" si="4"/>
        <v>80.9625</v>
      </c>
      <c r="N18" s="3">
        <f t="shared" si="5"/>
        <v>6554.926406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3">
        <f t="shared" si="3"/>
        <v>96.8375</v>
      </c>
      <c r="M19" s="14">
        <f t="shared" si="4"/>
        <v>80.9625</v>
      </c>
      <c r="N19" s="3">
        <f t="shared" si="5"/>
        <v>6554.926406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86.0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18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8.0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510.0</v>
      </c>
      <c r="E24" s="3"/>
      <c r="F24" s="3"/>
      <c r="G24" s="3" t="s">
        <v>59</v>
      </c>
      <c r="I24" s="3">
        <f>15000*SQRT(I21*100/9.8)*0.8*9.8/100</f>
        <v>34837.22147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1583.460872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0.03317445831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0.02454369261</v>
      </c>
      <c r="E27" s="3"/>
      <c r="F27" s="3"/>
      <c r="G27" s="3" t="s">
        <v>64</v>
      </c>
      <c r="I27" s="3">
        <f>(D18-SUM(N:N)/6)*(1-D14/2/D16)*(1-D14/2/D15)</f>
        <v>31940.64453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0.6921369971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0.01918532589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0.01918532589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0.03837065178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14515.50895</v>
      </c>
      <c r="E32" s="3"/>
      <c r="F32" s="3"/>
      <c r="G32" s="3" t="s">
        <v>72</v>
      </c>
      <c r="I32" s="3">
        <f>I28*I29*$D$12</f>
        <v>6.772225663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19.56903241</v>
      </c>
      <c r="F33" s="3"/>
      <c r="G33" s="3" t="s">
        <v>74</v>
      </c>
      <c r="I33" s="3">
        <f>I28*I30*D12</f>
        <v>6.772225663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0.07874681004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0.5403043478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1.5</v>
      </c>
      <c r="E36" s="3">
        <f>1+D35</f>
        <v>1.540304348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3.060294104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157950.3475</v>
      </c>
      <c r="E38" s="3"/>
      <c r="F38" s="3"/>
      <c r="G38" s="3" t="s">
        <v>84</v>
      </c>
      <c r="I38" s="3">
        <f>1+I36*I34*(0.1+0.9/(1+I37*I34))</f>
        <v>1.460179148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467027.929</v>
      </c>
      <c r="E39" s="3"/>
      <c r="F39" s="3"/>
      <c r="G39" s="3" t="s">
        <v>0</v>
      </c>
      <c r="I39" s="3">
        <f>I21*I38</f>
        <v>125.5754067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624978.2765</v>
      </c>
      <c r="E40" s="3"/>
      <c r="F40" s="3"/>
      <c r="G40" s="3" t="s">
        <v>1</v>
      </c>
      <c r="I40" s="3">
        <f>I22*(1+5*(I39/I21-1))</f>
        <v>0.006601791476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702361931.4</v>
      </c>
      <c r="E41" s="3"/>
      <c r="F41" s="3"/>
      <c r="G41" s="3" t="s">
        <v>86</v>
      </c>
      <c r="I41" s="3">
        <f>I24/(I24-I39/I40)</f>
        <v>2.202683665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0.03585656438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35.12443948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