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F5B80D2B-036E-4AAF-B8FA-5D9FB540EE2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ZBjX8YC6GtQg8BqzpkI77SkGGzhKpb0zEEe2A5rQKA="/>
    </ext>
  </extLst>
</workbook>
</file>

<file path=xl/calcChain.xml><?xml version="1.0" encoding="utf-8"?>
<calcChain xmlns="http://schemas.openxmlformats.org/spreadsheetml/2006/main">
  <c r="L13" i="2" l="1"/>
  <c r="L14" i="2"/>
  <c r="M14" i="2" s="1"/>
  <c r="N14" i="2" s="1"/>
  <c r="L15" i="2"/>
  <c r="M15" i="2" s="1"/>
  <c r="N15" i="2" s="1"/>
  <c r="L12" i="2"/>
  <c r="E36" i="2"/>
  <c r="D36" i="2"/>
  <c r="D35" i="2"/>
  <c r="D27" i="2"/>
  <c r="D25" i="2"/>
  <c r="I24" i="2"/>
  <c r="M13" i="2"/>
  <c r="N13" i="2" s="1"/>
  <c r="M12" i="2"/>
  <c r="N12" i="2" s="1"/>
  <c r="J8" i="2"/>
  <c r="K8" i="2" s="1"/>
  <c r="I8" i="2"/>
  <c r="J7" i="2"/>
  <c r="K7" i="2" s="1"/>
  <c r="I7" i="2"/>
  <c r="K6" i="2"/>
  <c r="I6" i="2"/>
  <c r="I5" i="2"/>
  <c r="J5" i="2" s="1"/>
  <c r="I4" i="2"/>
  <c r="J4" i="2" s="1"/>
  <c r="K4" i="2" s="1"/>
  <c r="J3" i="2"/>
  <c r="K3" i="2" s="1"/>
  <c r="I3" i="2"/>
  <c r="D16" i="2" l="1"/>
  <c r="I29" i="2" s="1"/>
  <c r="D15" i="2"/>
  <c r="K5" i="2"/>
  <c r="D17" i="2" s="1"/>
  <c r="D14" i="2"/>
  <c r="D32" i="2"/>
  <c r="D41" i="2" s="1"/>
  <c r="R6" i="2" s="1"/>
  <c r="F2" i="1" s="1"/>
  <c r="D39" i="2" l="1"/>
  <c r="I30" i="2"/>
  <c r="I31" i="2" s="1"/>
  <c r="D18" i="2"/>
  <c r="I42" i="2" l="1"/>
  <c r="T3" i="2" s="1"/>
  <c r="D2" i="1" s="1"/>
  <c r="E33" i="2"/>
  <c r="D33" i="2"/>
  <c r="D26" i="2"/>
  <c r="I27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<sst xmlns="http://schemas.openxmlformats.org/spreadsheetml/2006/main" count="109" uniqueCount="86">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</sst>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6505575" cy="40005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89.531967028813554</v>
      </c>
      <c r="B2" s="2">
        <f>Calculate!R3</f>
        <v>4.4177485476856546E-3</v>
      </c>
      <c r="C2" s="2">
        <f>Calculate!S3</f>
        <v>7.6710030063866927</v>
      </c>
      <c r="D2" s="2">
        <f>Calculate!T3</f>
        <v>3.2154111281483488E-2</v>
      </c>
      <c r="E2" s="2">
        <f>Calculate!Q6</f>
        <v>721972.1278142645</v>
      </c>
      <c r="F2" s="2">
        <f>Calculate!R6</f>
        <v>927281545.42856193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O15" sqref="O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5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89.531967028813554</v>
      </c>
      <c r="R3" s="1">
        <f>I40</f>
        <v>4.4177485476856546E-3</v>
      </c>
      <c r="S3" s="1">
        <f>I43</f>
        <v>7.6710030063866927</v>
      </c>
      <c r="T3" s="1">
        <f>I42</f>
        <v>3.2154111281483488E-2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305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17</v>
      </c>
      <c r="C5" s="16"/>
      <c r="D5" s="7">
        <v>305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20</v>
      </c>
      <c r="C6" s="16"/>
      <c r="D6" s="7">
        <v>11.5</v>
      </c>
      <c r="E6" s="3"/>
      <c r="F6" s="3"/>
      <c r="G6" s="9" t="s">
        <v>21</v>
      </c>
      <c r="H6" s="10" t="s">
        <v>21</v>
      </c>
      <c r="I6" s="5">
        <f>19.5/25.4</f>
        <v>0.76771653543307095</v>
      </c>
      <c r="J6" s="10">
        <v>19.5</v>
      </c>
      <c r="K6" s="1">
        <f t="shared" si="1"/>
        <v>298.64765163187968</v>
      </c>
      <c r="L6" s="3"/>
      <c r="M6" s="3"/>
      <c r="N6" s="3"/>
      <c r="O6" s="3"/>
      <c r="P6" s="3"/>
      <c r="Q6" s="1">
        <f>D40</f>
        <v>721972.1278142645</v>
      </c>
      <c r="R6" s="1">
        <f>D41</f>
        <v>927281545.42856193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11.5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ref="J7:J8" si="2">I7*25.4</f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2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95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18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463</v>
      </c>
      <c r="E12" s="3"/>
      <c r="F12" s="3"/>
      <c r="G12" s="3"/>
      <c r="H12" s="3"/>
      <c r="I12" s="12"/>
      <c r="J12" s="12" t="s">
        <v>15</v>
      </c>
      <c r="K12" s="3"/>
      <c r="L12" s="7">
        <f>247.5</f>
        <v>247.5</v>
      </c>
      <c r="M12" s="13">
        <f t="shared" ref="M12:M19" si="3">L12-VLOOKUP($D$22, $G$3:$K$8, 4, FALSE)</f>
        <v>228</v>
      </c>
      <c r="N12" s="3">
        <f t="shared" ref="N12:N19" si="4">M12^2</f>
        <v>51984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7">
        <v>2</v>
      </c>
      <c r="J13" s="12" t="s">
        <v>18</v>
      </c>
      <c r="K13" s="3"/>
      <c r="L13" s="12">
        <f t="shared" ref="L13:L15" si="5">247.5</f>
        <v>247.5</v>
      </c>
      <c r="M13" s="13">
        <f t="shared" si="3"/>
        <v>228</v>
      </c>
      <c r="N13" s="3">
        <f t="shared" si="4"/>
        <v>51984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79.125</v>
      </c>
      <c r="E14" s="3"/>
      <c r="F14" s="3"/>
      <c r="G14" s="3"/>
      <c r="H14" s="3"/>
      <c r="K14" s="3"/>
      <c r="L14" s="12">
        <f t="shared" si="5"/>
        <v>247.5</v>
      </c>
      <c r="M14" s="13">
        <f t="shared" si="3"/>
        <v>228</v>
      </c>
      <c r="N14" s="3">
        <f t="shared" si="4"/>
        <v>51984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266.125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f t="shared" si="5"/>
        <v>247.5</v>
      </c>
      <c r="M15" s="13">
        <f t="shared" si="3"/>
        <v>228</v>
      </c>
      <c r="N15" s="3">
        <f t="shared" si="4"/>
        <v>51984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266.125</v>
      </c>
      <c r="E16" s="3"/>
      <c r="F16" s="3"/>
      <c r="G16" s="3"/>
      <c r="H16" s="3"/>
      <c r="I16" s="12"/>
      <c r="J16" s="12" t="s">
        <v>12</v>
      </c>
      <c r="K16" s="3"/>
      <c r="L16" s="7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197.93260902246004</v>
      </c>
      <c r="E17" s="3"/>
      <c r="F17" s="3"/>
      <c r="G17" s="3"/>
      <c r="H17" s="3"/>
      <c r="I17" s="12"/>
      <c r="J17" s="12" t="s">
        <v>15</v>
      </c>
      <c r="K17" s="3"/>
      <c r="L17" s="7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70822.515625</v>
      </c>
      <c r="E18" s="3"/>
      <c r="F18" s="3"/>
      <c r="G18" s="3"/>
      <c r="H18" s="3"/>
      <c r="I18" s="7">
        <v>2</v>
      </c>
      <c r="J18" s="12" t="s">
        <v>18</v>
      </c>
      <c r="K18" s="3"/>
      <c r="L18" s="7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7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72.099999999999994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21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454</v>
      </c>
      <c r="E24" s="3"/>
      <c r="F24" s="3"/>
      <c r="G24" s="15" t="s">
        <v>58</v>
      </c>
      <c r="H24" s="16"/>
      <c r="I24" s="3">
        <f>15000*SQRT(I21*100/9.8)*0.8*9.8/100</f>
        <v>31897.887077359836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2389.1812130550375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3.3734769119266761E-2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2.5683216480032651E-2</v>
      </c>
      <c r="E27" s="3"/>
      <c r="F27" s="3"/>
      <c r="G27" s="15" t="s">
        <v>63</v>
      </c>
      <c r="H27" s="16"/>
      <c r="I27" s="3">
        <f>(D18-SUM(N:N)/6)*(1-D14/2/D16)*(1-D14/2/D15)</f>
        <v>26212.677078593118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0.38303960056661696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1.5658064049637144E-2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1.5658064049637144E-2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3.1316128099274289E-2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13290.786282233265</v>
      </c>
      <c r="E32" s="3"/>
      <c r="F32" s="3"/>
      <c r="G32" s="15" t="s">
        <v>71</v>
      </c>
      <c r="H32" s="16"/>
      <c r="I32" s="3">
        <f>I28*I29*$D$12</f>
        <v>2.7769159314386362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14.499367309963995</v>
      </c>
      <c r="F33" s="3"/>
      <c r="G33" s="15" t="s">
        <v>73</v>
      </c>
      <c r="H33" s="16"/>
      <c r="I33" s="3">
        <f>I28*I30*D12</f>
        <v>2.7769159314386362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3.8514784069883998E-2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0.4529760869565217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1.4529760869565216</v>
      </c>
      <c r="E36" s="3">
        <f>1+D35</f>
        <v>1.4529760869565216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2.802086722426699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208531.29388299494</v>
      </c>
      <c r="E38" s="3"/>
      <c r="F38" s="3"/>
      <c r="G38" s="15" t="s">
        <v>83</v>
      </c>
      <c r="H38" s="16"/>
      <c r="I38" s="3">
        <f>1+I36*I34*(0.1+0.9/(1+I37*I34))</f>
        <v>1.2417748547685654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513440.83393126959</v>
      </c>
      <c r="E39" s="3"/>
      <c r="F39" s="3"/>
      <c r="G39" s="15" t="s">
        <v>0</v>
      </c>
      <c r="H39" s="16"/>
      <c r="I39" s="3">
        <f>I21*I38</f>
        <v>89.531967028813554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721972.1278142645</v>
      </c>
      <c r="E40" s="3"/>
      <c r="F40" s="3"/>
      <c r="G40" s="15" t="s">
        <v>1</v>
      </c>
      <c r="H40" s="16"/>
      <c r="I40" s="3">
        <f>I22*(1+5*(I39/I21-1))</f>
        <v>4.4177485476856546E-3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927281545.42856193</v>
      </c>
      <c r="E41" s="3"/>
      <c r="F41" s="3"/>
      <c r="G41" s="15" t="s">
        <v>85</v>
      </c>
      <c r="H41" s="16"/>
      <c r="I41" s="3">
        <f>I24/(I24-I39/I40)</f>
        <v>2.7423796993510154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3.2154111281483488E-2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7.6710030063866927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2024-05-16T11:42:06Z</dcterms:modified>
</cp:coreProperties>
</file>