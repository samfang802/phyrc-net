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F6EB944D-6486-4AE9-A1C9-9E75E78FA5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F0kZuSQxTfjFY5T78R5YlaWOVvKjxwFJRKmJ48JcA0="/>
    </ext>
  </extLst>
</workbook>
</file>

<file path=xl/calcChain.xml><?xml version="1.0" encoding="utf-8"?>
<calcChain xmlns="http://schemas.openxmlformats.org/spreadsheetml/2006/main">
  <c r="L17" i="2" l="1"/>
  <c r="L16" i="2"/>
  <c r="L15" i="2"/>
  <c r="L14" i="2"/>
  <c r="L13" i="2"/>
  <c r="L12" i="2"/>
  <c r="D32" i="2" l="1"/>
  <c r="D41" i="2" s="1"/>
  <c r="R6" i="2" s="1"/>
  <c r="F2" i="1" s="1"/>
  <c r="I24" i="2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J8" i="2"/>
  <c r="K8" i="2" s="1"/>
  <c r="D25" i="2" s="1"/>
  <c r="I8" i="2"/>
  <c r="I7" i="2"/>
  <c r="J7" i="2" s="1"/>
  <c r="K7" i="2" s="1"/>
  <c r="I6" i="2"/>
  <c r="J6" i="2" s="1"/>
  <c r="K6" i="2" s="1"/>
  <c r="I5" i="2"/>
  <c r="J5" i="2" s="1"/>
  <c r="K5" i="2" s="1"/>
  <c r="D5" i="2"/>
  <c r="I4" i="2"/>
  <c r="J4" i="2" s="1"/>
  <c r="K4" i="2" s="1"/>
  <c r="D4" i="2"/>
  <c r="D35" i="2" s="1"/>
  <c r="I3" i="2"/>
  <c r="J3" i="2" s="1"/>
  <c r="D27" i="2" l="1"/>
  <c r="D16" i="2"/>
  <c r="I29" i="2" s="1"/>
  <c r="K3" i="2"/>
  <c r="D17" i="2" s="1"/>
  <c r="D15" i="2"/>
  <c r="D14" i="2"/>
  <c r="E36" i="2"/>
  <c r="D36" i="2"/>
  <c r="D18" i="2" l="1"/>
  <c r="I30" i="2"/>
  <c r="I31" i="2" s="1"/>
  <c r="D39" i="2"/>
  <c r="I42" i="2" l="1"/>
  <c r="T3" i="2" s="1"/>
  <c r="D2" i="1" s="1"/>
  <c r="E33" i="2"/>
  <c r="D33" i="2"/>
  <c r="I27" i="2"/>
  <c r="I28" i="2" s="1"/>
  <c r="D26" i="2"/>
  <c r="I32" i="2" l="1"/>
  <c r="I33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<sst xmlns="http://schemas.openxmlformats.org/spreadsheetml/2006/main" count="109" uniqueCount="87">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</sst>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533400</xdr:colOff>
      <xdr:row>17</xdr:row>
      <xdr:rowOff>104775</xdr:rowOff>
    </xdr:from>
    <xdr:ext cx="5572125" cy="33242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92.483233597961345</v>
      </c>
      <c r="B2" s="2">
        <f>Calculate!R3</f>
        <v>3.1425582648146192E-3</v>
      </c>
      <c r="C2" s="2">
        <f>Calculate!S3</f>
        <v>0.13869218406901654</v>
      </c>
      <c r="D2" s="2">
        <f>Calculate!T3</f>
        <v>1.248666841107661E-2</v>
      </c>
      <c r="E2" s="2">
        <f>Calculate!Q6</f>
        <v>764542.28812050959</v>
      </c>
      <c r="F2" s="2">
        <f>Calculate!R6</f>
        <v>1656006460.3807027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8" sqref="L18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92.483233597961345</v>
      </c>
      <c r="R3" s="1">
        <f>I40</f>
        <v>3.1425582648146192E-3</v>
      </c>
      <c r="S3" s="1">
        <f>I43</f>
        <v>0.13869218406901654</v>
      </c>
      <c r="T3" s="1">
        <f>I42</f>
        <v>1.248666841107661E-2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f>20*25.4</f>
        <v>508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17</v>
      </c>
      <c r="C5" s="16"/>
      <c r="D5" s="8">
        <f>12*25.4</f>
        <v>304.79999999999995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20</v>
      </c>
      <c r="C6" s="16"/>
      <c r="D6" s="7">
        <v>0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764542.28812050959</v>
      </c>
      <c r="R6" s="1">
        <f>D41</f>
        <v>1656006460.3807027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23</v>
      </c>
      <c r="C7" s="16"/>
      <c r="D7" s="7">
        <v>0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28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29</v>
      </c>
      <c r="C10" s="18"/>
      <c r="D10" s="7">
        <v>75</v>
      </c>
      <c r="E10" s="3"/>
      <c r="F10" s="3"/>
      <c r="G10" s="15" t="s">
        <v>30</v>
      </c>
      <c r="H10" s="16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5" t="s">
        <v>33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34</v>
      </c>
      <c r="C11" s="18"/>
      <c r="D11" s="7" t="s">
        <v>12</v>
      </c>
      <c r="E11" s="3"/>
      <c r="F11" s="3"/>
      <c r="G11" s="3"/>
      <c r="H11" s="3"/>
      <c r="I11" s="7">
        <v>2</v>
      </c>
      <c r="J11" s="8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39</v>
      </c>
      <c r="C12" s="18"/>
      <c r="D12" s="7">
        <v>414</v>
      </c>
      <c r="E12" s="3"/>
      <c r="F12" s="3"/>
      <c r="G12" s="3"/>
      <c r="H12" s="3"/>
      <c r="I12" s="8"/>
      <c r="J12" s="8" t="s">
        <v>15</v>
      </c>
      <c r="K12" s="3"/>
      <c r="L12" s="11">
        <f t="shared" ref="L12:L13" si="2">73/8*25.4</f>
        <v>231.77499999999998</v>
      </c>
      <c r="M12" s="12">
        <f t="shared" ref="M12:M19" si="3">L12-VLOOKUP($D$22, $G$3:$K$8, 4, FALSE)</f>
        <v>206.37499999999997</v>
      </c>
      <c r="N12" s="3">
        <f t="shared" ref="N12:N19" si="4">M12^2</f>
        <v>42590.640624999985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41</v>
      </c>
      <c r="C13" s="18"/>
      <c r="D13" s="7">
        <v>1</v>
      </c>
      <c r="E13" s="3"/>
      <c r="F13" s="3"/>
      <c r="G13" s="3"/>
      <c r="H13" s="3"/>
      <c r="I13" s="8"/>
      <c r="J13" s="8" t="s">
        <v>18</v>
      </c>
      <c r="K13" s="3"/>
      <c r="L13" s="11">
        <f t="shared" si="2"/>
        <v>231.77499999999998</v>
      </c>
      <c r="M13" s="12">
        <f t="shared" si="3"/>
        <v>206.37499999999997</v>
      </c>
      <c r="N13" s="3">
        <f t="shared" si="4"/>
        <v>42590.640624999985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43</v>
      </c>
      <c r="C14" s="16"/>
      <c r="D14" s="3">
        <f>D10-D13*VLOOKUP(D11,G3:K8,4,FALSE)</f>
        <v>65.474999999999994</v>
      </c>
      <c r="E14" s="3"/>
      <c r="F14" s="3"/>
      <c r="G14" s="3"/>
      <c r="H14" s="3"/>
      <c r="K14" s="3"/>
      <c r="L14" s="11">
        <f>41/8*25.4 * 2</f>
        <v>260.34999999999997</v>
      </c>
      <c r="M14" s="12">
        <f t="shared" si="3"/>
        <v>234.94999999999996</v>
      </c>
      <c r="N14" s="3">
        <f t="shared" si="4"/>
        <v>55201.502499999981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45</v>
      </c>
      <c r="C15" s="16"/>
      <c r="D15" s="13">
        <f>D4-2*D7-VLOOKUP(D11, G3:K8, 4,FALSE )</f>
        <v>498.47500000000002</v>
      </c>
      <c r="E15" s="3"/>
      <c r="F15" s="3"/>
      <c r="G15" s="15" t="s">
        <v>46</v>
      </c>
      <c r="H15" s="16"/>
      <c r="I15" s="3" t="s">
        <v>31</v>
      </c>
      <c r="J15" s="3" t="s">
        <v>32</v>
      </c>
      <c r="K15" s="3"/>
      <c r="L15" s="11">
        <f t="shared" ref="L15:L16" si="5">73/8*25.4</f>
        <v>231.77499999999998</v>
      </c>
      <c r="M15" s="12">
        <f t="shared" si="3"/>
        <v>206.37499999999997</v>
      </c>
      <c r="N15" s="3">
        <f t="shared" si="4"/>
        <v>42590.640624999985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48</v>
      </c>
      <c r="C16" s="16"/>
      <c r="D16" s="13">
        <f>D5-2*D6-VLOOKUP(D11, G3:K8, 4,FALSE )</f>
        <v>295.27499999999998</v>
      </c>
      <c r="E16" s="3"/>
      <c r="F16" s="3"/>
      <c r="G16" s="3"/>
      <c r="H16" s="3"/>
      <c r="I16" s="7">
        <v>3</v>
      </c>
      <c r="J16" s="8" t="s">
        <v>12</v>
      </c>
      <c r="K16" s="3"/>
      <c r="L16" s="11">
        <f t="shared" si="5"/>
        <v>231.77499999999998</v>
      </c>
      <c r="M16" s="12">
        <f t="shared" si="3"/>
        <v>206.37499999999997</v>
      </c>
      <c r="N16" s="3">
        <f t="shared" si="4"/>
        <v>42590.640624999985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49</v>
      </c>
      <c r="C17" s="16"/>
      <c r="D17" s="3">
        <f>D13*VLOOKUP(D11,G3:K8,5,FALSE)</f>
        <v>71.255739248085604</v>
      </c>
      <c r="E17" s="3"/>
      <c r="F17" s="3"/>
      <c r="G17" s="3"/>
      <c r="H17" s="3"/>
      <c r="I17" s="8"/>
      <c r="J17" s="8" t="s">
        <v>15</v>
      </c>
      <c r="K17" s="3"/>
      <c r="L17" s="11">
        <f>41/8*25.4 * 2</f>
        <v>260.34999999999997</v>
      </c>
      <c r="M17" s="12">
        <f t="shared" si="3"/>
        <v>234.94999999999996</v>
      </c>
      <c r="N17" s="3">
        <f t="shared" si="4"/>
        <v>55201.502499999981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50</v>
      </c>
      <c r="C18" s="16"/>
      <c r="D18" s="3">
        <f>D15*D16</f>
        <v>147187.205625</v>
      </c>
      <c r="E18" s="3"/>
      <c r="F18" s="3"/>
      <c r="G18" s="3"/>
      <c r="H18" s="3"/>
      <c r="I18" s="8"/>
      <c r="J18" s="8" t="s">
        <v>18</v>
      </c>
      <c r="K18" s="3"/>
      <c r="L18" s="14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4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51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52</v>
      </c>
      <c r="C21" s="16"/>
      <c r="D21" s="16"/>
      <c r="E21" s="3"/>
      <c r="F21" s="3"/>
      <c r="G21" s="15" t="s">
        <v>53</v>
      </c>
      <c r="H21" s="16"/>
      <c r="I21" s="7">
        <v>83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54</v>
      </c>
      <c r="C22" s="18"/>
      <c r="D22" s="7" t="s">
        <v>26</v>
      </c>
      <c r="E22" s="3"/>
      <c r="F22" s="3"/>
      <c r="G22" s="15" t="s">
        <v>55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56</v>
      </c>
      <c r="C23" s="16"/>
      <c r="D23" s="7">
        <v>8</v>
      </c>
      <c r="E23" s="3"/>
      <c r="F23" s="3"/>
      <c r="G23" s="15" t="s">
        <v>57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58</v>
      </c>
      <c r="C24" s="18"/>
      <c r="D24" s="7">
        <v>414</v>
      </c>
      <c r="E24" s="3"/>
      <c r="F24" s="3"/>
      <c r="G24" s="15" t="s">
        <v>59</v>
      </c>
      <c r="H24" s="16"/>
      <c r="I24" s="3">
        <f>15000*SQRT(I21*100/9.8)*0.8*9.8/100</f>
        <v>34224.201962938452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60</v>
      </c>
      <c r="C25" s="16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61</v>
      </c>
      <c r="C26" s="16"/>
      <c r="D26" s="3">
        <f>D25/D18</f>
        <v>2.7540843754502671E-2</v>
      </c>
      <c r="E26" s="3"/>
      <c r="F26" s="3"/>
      <c r="G26" s="17" t="s">
        <v>62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63</v>
      </c>
      <c r="C27" s="16"/>
      <c r="D27" s="3">
        <f>D25/D4/D5</f>
        <v>2.6179938779914945E-2</v>
      </c>
      <c r="E27" s="3"/>
      <c r="F27" s="3"/>
      <c r="G27" s="15" t="s">
        <v>64</v>
      </c>
      <c r="H27" s="16"/>
      <c r="I27" s="3">
        <f>(D18-SUM(N:N)/6)*(1-D14/2/D16)*(1-D14/2/D15)</f>
        <v>83399.92967244325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65</v>
      </c>
      <c r="H28" s="16"/>
      <c r="I28" s="3">
        <f>I27/(1-D26)/D18</f>
        <v>0.58267214167607406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66</v>
      </c>
      <c r="H29" s="16"/>
      <c r="I29" s="3">
        <f>(I11*VLOOKUP(J11, G3:K8, 5, FALSE) + I12*VLOOKUP(J12, G3:K8, 5, FALSE) + I13*VLOOKUP(J13, G3:K8, 5, FALSE))/D16/D10</f>
        <v>6.4351978549339302E-3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5" t="s">
        <v>68</v>
      </c>
      <c r="H30" s="16"/>
      <c r="I30" s="3">
        <f>(I16*VLOOKUP(J16, G3:K8, 5, FALSE) + I17*VLOOKUP(J17, G3:K8, 5, FALSE)+ I18*VLOOKUP(J18, G3:K8, 5, FALSE))/D15/D10</f>
        <v>5.7178987309763262E-3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69</v>
      </c>
      <c r="C31" s="16"/>
      <c r="D31" s="16"/>
      <c r="E31" s="3"/>
      <c r="F31" s="3"/>
      <c r="G31" s="15" t="s">
        <v>70</v>
      </c>
      <c r="H31" s="16"/>
      <c r="I31" s="3">
        <f>I29+I30</f>
        <v>1.2153096585910256E-2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71</v>
      </c>
      <c r="C32" s="16"/>
      <c r="D32" s="3">
        <f>I24/(2*(1+C30))</f>
        <v>14260.084151224355</v>
      </c>
      <c r="E32" s="3"/>
      <c r="F32" s="3"/>
      <c r="G32" s="15" t="s">
        <v>72</v>
      </c>
      <c r="H32" s="16"/>
      <c r="I32" s="3">
        <f>I28*I29*$D$12</f>
        <v>1.5523387537248632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73</v>
      </c>
      <c r="C33" s="16"/>
      <c r="D33" s="3">
        <f>IF(I31*D12&gt;2.42, 2.42, I31*D12)</f>
        <v>2.42</v>
      </c>
      <c r="E33" s="3">
        <f>D12*I31</f>
        <v>5.0313819865668465</v>
      </c>
      <c r="F33" s="3"/>
      <c r="G33" s="15" t="s">
        <v>74</v>
      </c>
      <c r="H33" s="16"/>
      <c r="I33" s="3">
        <f>I28*I30*D12</f>
        <v>1.3793073639784612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75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76</v>
      </c>
      <c r="H34" s="16"/>
      <c r="I34" s="3">
        <f>(I32+I33)/2/I21</f>
        <v>1.7660518781345325E-2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77</v>
      </c>
      <c r="C35" s="16"/>
      <c r="D35" s="3">
        <f>0.0867*(D4*D5)*I21/13.8/(D4*D5)</f>
        <v>0.52145652173913037</v>
      </c>
      <c r="E35" s="3"/>
      <c r="F35" s="3"/>
      <c r="G35" s="15" t="s">
        <v>78</v>
      </c>
      <c r="H35" s="16"/>
      <c r="I35" s="3">
        <f>MIN(I32, I33)/MAX(I32, I33)</f>
        <v>0.88853503184713378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79</v>
      </c>
      <c r="C36" s="16"/>
      <c r="D36" s="3">
        <f>IF(1+D35&gt;1.5, 1.5, 1+D35)</f>
        <v>1.5</v>
      </c>
      <c r="E36" s="3">
        <f>1+D35</f>
        <v>1.5214565217391303</v>
      </c>
      <c r="F36" s="3"/>
      <c r="G36" s="15" t="s">
        <v>80</v>
      </c>
      <c r="H36" s="16"/>
      <c r="I36" s="3">
        <f>6.8886-(0.6069+17.275*I35)*EXP(1)^(-4.989*I35)</f>
        <v>6.6990390866849996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81</v>
      </c>
      <c r="C37" s="16"/>
      <c r="D37" s="3">
        <f>IF(D34*D36*SQRT(I21)&gt;0.33*SQRT(I21), 0.33*SQRT(I21), D34*D36*SQRT(I21))</f>
        <v>3.0064430811176188</v>
      </c>
      <c r="E37" s="3"/>
      <c r="F37" s="3"/>
      <c r="G37" s="15" t="s">
        <v>82</v>
      </c>
      <c r="H37" s="16"/>
      <c r="I37" s="3">
        <f>4.5/(5/I36*(0.9849-0.6306*EXP(1)^(-3.989*I35))-0.1)-5</f>
        <v>2.240437803620007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83</v>
      </c>
      <c r="C38" s="16"/>
      <c r="D38" s="3">
        <f>0.8*D4*D5*D37</f>
        <v>372410.26909705781</v>
      </c>
      <c r="E38" s="3"/>
      <c r="F38" s="3"/>
      <c r="G38" s="15" t="s">
        <v>84</v>
      </c>
      <c r="H38" s="16"/>
      <c r="I38" s="3">
        <f>1+I36*I34*(0.1+0.9/(1+I37*I34))</f>
        <v>1.1142558264814619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85</v>
      </c>
      <c r="C39" s="16"/>
      <c r="D39" s="3">
        <f>(I11*VLOOKUP(J11, G3:K8, 5, FALSE) + I12*VLOOKUP(J12, G3:K8, 5, FALSE) + I13*VLOOKUP(J13, G3:K8, 5, FALSE))*D12*D15/D10</f>
        <v>392132.01902345178</v>
      </c>
      <c r="E39" s="3"/>
      <c r="F39" s="3"/>
      <c r="G39" s="15" t="s">
        <v>0</v>
      </c>
      <c r="H39" s="16"/>
      <c r="I39" s="3">
        <f>I21*I38</f>
        <v>92.483233597961345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764542.28812050959</v>
      </c>
      <c r="E40" s="3"/>
      <c r="F40" s="3"/>
      <c r="G40" s="15" t="s">
        <v>1</v>
      </c>
      <c r="H40" s="16"/>
      <c r="I40" s="3">
        <f>I22*(1+5*(I39/I21-1))</f>
        <v>3.1425582648146192E-3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1656006460.3807027</v>
      </c>
      <c r="E41" s="3"/>
      <c r="F41" s="3"/>
      <c r="G41" s="15" t="s">
        <v>86</v>
      </c>
      <c r="H41" s="16"/>
      <c r="I41" s="3">
        <f>I24/(I24-I39/I40)</f>
        <v>7.1375961914074733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1.248666841107661E-2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0.13869218406901654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2024-05-16T11:45:12Z</dcterms:modified>
</cp:coreProperties>
</file>