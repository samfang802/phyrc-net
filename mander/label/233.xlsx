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lCsuFRkW3DNXgHoYegbJkzrw7A9GRLseb/sez79Bj4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<sst xmlns="http://schemas.openxmlformats.org/spreadsheetml/2006/main" count="109" uniqueCount="86">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</sst>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7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  <font>
      <sz val="11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16</xdr:row>
      <xdr:rowOff>142875</xdr:rowOff>
    </xdr:from>
    <xdr:ext cx="8829675" cy="63436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31.87929999</v>
      </c>
      <c r="B2" s="2">
        <f>Calculate!R3</f>
        <v>0.003634781017</v>
      </c>
      <c r="C2" s="2">
        <f>Calculate!S3</f>
        <v>7.567660585</v>
      </c>
      <c r="D2" s="2">
        <f>Calculate!T3</f>
        <v>0.04467885107</v>
      </c>
      <c r="E2" s="2">
        <f>Calculate!Q6</f>
        <v>91580.94215</v>
      </c>
      <c r="F2" s="2">
        <f>Calculate!R6</f>
        <v>285443078.5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31.87929999</v>
      </c>
      <c r="R3" s="1">
        <f>I40</f>
        <v>0.003634781017</v>
      </c>
      <c r="S3" s="1">
        <f>I43</f>
        <v>7.567660585</v>
      </c>
      <c r="T3" s="1">
        <f>I42</f>
        <v>0.04467885107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91580.94215</v>
      </c>
      <c r="R6" s="1">
        <f>D41</f>
        <v>285443078.5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0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0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0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0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27.4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19663.89585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N25" s="1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8193.289938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0.03054643212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0.1721434783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1.172143478</v>
      </c>
      <c r="E36" s="3">
        <f>1+D35</f>
        <v>1.172143478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1.531442298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56910.25802</v>
      </c>
      <c r="E38" s="3"/>
      <c r="F38" s="3"/>
      <c r="G38" s="3" t="s">
        <v>83</v>
      </c>
      <c r="I38" s="3">
        <f>1+I36*I34*(0.1+0.9/(1+I37*I34))</f>
        <v>1.163478102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31.87929999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91580.94215</v>
      </c>
      <c r="E40" s="3"/>
      <c r="F40" s="3"/>
      <c r="G40" s="3" t="s">
        <v>1</v>
      </c>
      <c r="I40" s="3">
        <f>I22*(1+5*(I39/I21-1))</f>
        <v>0.003634781017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285443078.5</v>
      </c>
      <c r="E41" s="3"/>
      <c r="F41" s="3"/>
      <c r="G41" s="3" t="s">
        <v>85</v>
      </c>
      <c r="I41" s="3">
        <f>I24/(I24-I39/I40)</f>
        <v>1.805141494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0.04467885107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7.567660585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