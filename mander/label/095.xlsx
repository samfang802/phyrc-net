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WaBXswJwRS+FpXVa7Ycz2yk2KZCe8R9qrjBXK65Tsk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<sst xmlns="http://schemas.openxmlformats.org/spreadsheetml/2006/main" count="109" uniqueCount="87">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</sst>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9039225" cy="29813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36.69651978</v>
      </c>
      <c r="B2" s="2">
        <f>Calculate!R3</f>
        <v>0.003326086352</v>
      </c>
      <c r="C2" s="2">
        <f>Calculate!S3</f>
        <v>10.68577925</v>
      </c>
      <c r="D2" s="2">
        <f>Calculate!T3</f>
        <v>0.02042256994</v>
      </c>
      <c r="E2" s="2">
        <f>Calculate!Q6</f>
        <v>229075.2757</v>
      </c>
      <c r="F2" s="2">
        <f>Calculate!R6</f>
        <v>621607848.6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36.69651978</v>
      </c>
      <c r="R3" s="1">
        <f>I40</f>
        <v>0.003326086352</v>
      </c>
      <c r="S3" s="1">
        <f>I43</f>
        <v>10.68577925</v>
      </c>
      <c r="T3" s="1">
        <f>I42</f>
        <v>0.02042256994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229075.2757</v>
      </c>
      <c r="R6" s="1">
        <f>D41</f>
        <v>621607848.6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392.0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117.475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363.0</v>
      </c>
      <c r="E24" s="3"/>
      <c r="F24" s="3"/>
      <c r="G24" s="3" t="s">
        <v>59</v>
      </c>
      <c r="I24" s="3">
        <f>15000*SQRT(I21*100/9.8)*0.8*9.8/100</f>
        <v>21382.90906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18105.07859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0.3479812983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0.004847770282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0.004847770282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0.009695540563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8909.545443</v>
      </c>
      <c r="E32" s="3"/>
      <c r="F32" s="3"/>
      <c r="G32" s="3" t="s">
        <v>72</v>
      </c>
      <c r="I32" s="3">
        <f>I28*I29*$D$12</f>
        <v>0.6612778914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3.800651901</v>
      </c>
      <c r="F33" s="3"/>
      <c r="G33" s="3" t="s">
        <v>74</v>
      </c>
      <c r="I33" s="3">
        <f>I28*I30*D12</f>
        <v>0.6612778914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0.02040981146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0.2035565217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1.203556522</v>
      </c>
      <c r="E36" s="3">
        <f>1+D35</f>
        <v>1.203556522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1.70995065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127254.5274</v>
      </c>
      <c r="E38" s="3"/>
      <c r="F38" s="3"/>
      <c r="G38" s="3" t="s">
        <v>84</v>
      </c>
      <c r="I38" s="3">
        <f>1+I36*I34*(0.1+0.9/(1+I37*I34))</f>
        <v>1.132608635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101820.7483</v>
      </c>
      <c r="E39" s="3"/>
      <c r="F39" s="3"/>
      <c r="G39" s="3" t="s">
        <v>0</v>
      </c>
      <c r="I39" s="3">
        <f>I21*I38</f>
        <v>36.69651978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229075.2757</v>
      </c>
      <c r="E40" s="3"/>
      <c r="F40" s="3"/>
      <c r="G40" s="3" t="s">
        <v>1</v>
      </c>
      <c r="I40" s="3">
        <f>I22*(1+5*(I39/I21-1))</f>
        <v>0.003326086352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621607848.6</v>
      </c>
      <c r="E41" s="3"/>
      <c r="F41" s="3"/>
      <c r="G41" s="3" t="s">
        <v>86</v>
      </c>
      <c r="I41" s="3">
        <f>I24/(I24-I39/I40)</f>
        <v>2.065988245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0.02042256994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10.68577925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