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MbVk5ChjquwZpPuRXoXhBYyiNy7HqYXhjT2uGPrmAAg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<sst xmlns="http://schemas.openxmlformats.org/spreadsheetml/2006/main" count="109" uniqueCount="86">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</sst>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gif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4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8020050" cy="28479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</xdr:row>
      <xdr:rowOff>0</xdr:rowOff>
    </xdr:from>
    <xdr:ext cx="6124575" cy="1504950"/>
    <xdr:pic>
      <xdr:nvPicPr>
        <xdr:cNvPr id="0" name="image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</xdr:row>
      <xdr:rowOff>0</xdr:rowOff>
    </xdr:from>
    <xdr:ext cx="6038850" cy="8086725"/>
    <xdr:pic>
      <xdr:nvPicPr>
        <xdr:cNvPr id="0" name="image1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31.72488682</v>
      </c>
      <c r="B2" s="2">
        <f>Calculate!R3</f>
        <v>0.002610330039</v>
      </c>
      <c r="C2" s="2">
        <f>Calculate!S3</f>
        <v>7.863213379</v>
      </c>
      <c r="D2" s="2">
        <f>Calculate!T3</f>
        <v>0.01241237232</v>
      </c>
      <c r="E2" s="2">
        <f>Calculate!Q6</f>
        <v>151885.2513</v>
      </c>
      <c r="F2" s="2">
        <f>Calculate!R6</f>
        <v>597144695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6">
        <f>6</f>
        <v>6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31.72488682</v>
      </c>
      <c r="R3" s="1">
        <f>I40</f>
        <v>0.002610330039</v>
      </c>
      <c r="S3" s="1">
        <f>I43</f>
        <v>7.863213379</v>
      </c>
      <c r="T3" s="1">
        <f>I42</f>
        <v>0.01241237232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305.0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305.0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25.4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151885.2513</v>
      </c>
      <c r="R6" s="1">
        <f>D41</f>
        <v>597144695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25.4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210.0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414.0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19" si="3">223/2</f>
        <v>111.5</v>
      </c>
      <c r="M12" s="16">
        <f t="shared" ref="M12:M19" si="4">L12-VLOOKUP($D$22, $G$3:$K$8, 4, FALSE)</f>
        <v>92.45</v>
      </c>
      <c r="N12" s="3">
        <f t="shared" ref="N12:N19" si="5">M12^2</f>
        <v>8547.0025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111.5</v>
      </c>
      <c r="M13" s="16">
        <f t="shared" si="4"/>
        <v>92.45</v>
      </c>
      <c r="N13" s="3">
        <f t="shared" si="5"/>
        <v>8547.0025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198</v>
      </c>
      <c r="E14" s="3"/>
      <c r="F14" s="3"/>
      <c r="G14" s="3"/>
      <c r="H14" s="3"/>
      <c r="K14" s="3"/>
      <c r="L14" s="15">
        <f t="shared" si="3"/>
        <v>111.5</v>
      </c>
      <c r="M14" s="16">
        <f t="shared" si="4"/>
        <v>92.45</v>
      </c>
      <c r="N14" s="3">
        <f t="shared" si="5"/>
        <v>8547.0025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248.2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111.5</v>
      </c>
      <c r="M15" s="16">
        <f t="shared" si="4"/>
        <v>92.45</v>
      </c>
      <c r="N15" s="3">
        <f t="shared" si="5"/>
        <v>8547.0025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248.2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111.5</v>
      </c>
      <c r="M16" s="16">
        <f t="shared" si="4"/>
        <v>92.45</v>
      </c>
      <c r="N16" s="3">
        <f t="shared" si="5"/>
        <v>8547.0025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5">
        <f t="shared" si="3"/>
        <v>111.5</v>
      </c>
      <c r="M17" s="16">
        <f t="shared" si="4"/>
        <v>92.45</v>
      </c>
      <c r="N17" s="3">
        <f t="shared" si="5"/>
        <v>8547.0025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61603.24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111.5</v>
      </c>
      <c r="M18" s="16">
        <f t="shared" si="4"/>
        <v>92.45</v>
      </c>
      <c r="N18" s="3">
        <f t="shared" si="5"/>
        <v>8547.0025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111.5</v>
      </c>
      <c r="M19" s="16">
        <f t="shared" si="4"/>
        <v>92.45</v>
      </c>
      <c r="N19" s="3">
        <f t="shared" si="5"/>
        <v>8547.0025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29.9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462.0</v>
      </c>
      <c r="E24" s="3"/>
      <c r="F24" s="3"/>
      <c r="G24" s="3" t="s">
        <v>58</v>
      </c>
      <c r="I24" s="3">
        <f>15000*SQRT(I21*100/9.8)*0.8*9.8/100</f>
        <v>20541.39236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2280.183656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0.0370140216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0.02451151471</v>
      </c>
      <c r="E27" s="3"/>
      <c r="F27" s="3"/>
      <c r="G27" s="3" t="s">
        <v>63</v>
      </c>
      <c r="I27" s="3">
        <f>(D18-SUM(N:N)/6)*(1-D14/2/D16)*(1-D14/2/D15)</f>
        <v>18142.63699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0.3058277525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0.00216985794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0.00216985794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0.004339715879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8558.913482</v>
      </c>
      <c r="E32" s="3"/>
      <c r="F32" s="3"/>
      <c r="G32" s="3" t="s">
        <v>71</v>
      </c>
      <c r="I32" s="3">
        <f>I28*I29*$D$12</f>
        <v>0.2747315496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1.796642374</v>
      </c>
      <c r="E33" s="3">
        <f>D12*I31</f>
        <v>1.796642374</v>
      </c>
      <c r="F33" s="3"/>
      <c r="G33" s="3" t="s">
        <v>73</v>
      </c>
      <c r="I33" s="3">
        <f>I28*I30*D12</f>
        <v>0.2747315496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0.1997313899</v>
      </c>
      <c r="E34" s="3">
        <f>D33/12.5+0.305-0.083*3</f>
        <v>0.1997313899</v>
      </c>
      <c r="F34" s="3"/>
      <c r="G34" s="3" t="s">
        <v>75</v>
      </c>
      <c r="I34" s="3">
        <f>(I32+I33)/2/I21</f>
        <v>0.009188346141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0.18785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1.18785</v>
      </c>
      <c r="E36" s="3">
        <f>1+D35</f>
        <v>1.18785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1.297309267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96545.75566</v>
      </c>
      <c r="E38" s="3"/>
      <c r="F38" s="3"/>
      <c r="G38" s="3" t="s">
        <v>83</v>
      </c>
      <c r="I38" s="3">
        <f>1+I36*I34*(0.1+0.9/(1+I37*I34))</f>
        <v>1.061033004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55339.49568</v>
      </c>
      <c r="E39" s="3"/>
      <c r="F39" s="3"/>
      <c r="G39" s="3" t="s">
        <v>0</v>
      </c>
      <c r="I39" s="3">
        <f>I21*I38</f>
        <v>31.72488682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151885.2513</v>
      </c>
      <c r="E40" s="3"/>
      <c r="F40" s="3"/>
      <c r="G40" s="3" t="s">
        <v>1</v>
      </c>
      <c r="I40" s="3">
        <f>I22*(1+5*(I39/I21-1))</f>
        <v>0.002610330039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597144695</v>
      </c>
      <c r="E41" s="3"/>
      <c r="F41" s="3"/>
      <c r="G41" s="3" t="s">
        <v>85</v>
      </c>
      <c r="I41" s="3">
        <f>I24/(I24-I39/I40)</f>
        <v>2.448960632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0.01241237232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7.863213379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