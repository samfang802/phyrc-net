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+7UeuyNj1D6wAGGl2Znulu9iTz4r5HoxYOn0VSkGTiI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<sst xmlns="http://schemas.openxmlformats.org/spreadsheetml/2006/main" count="109" uniqueCount="86">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</sst>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781800" cy="28003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122.1867128</v>
      </c>
      <c r="B2" s="2">
        <f>Calculate!R3</f>
        <v>0.004280071638</v>
      </c>
      <c r="C2" s="2">
        <f>Calculate!S3</f>
        <v>4.797887856</v>
      </c>
      <c r="D2" s="2">
        <f>Calculate!T3</f>
        <v>0.01839956432</v>
      </c>
      <c r="E2" s="2">
        <f>Calculate!Q6</f>
        <v>365193.382</v>
      </c>
      <c r="F2" s="2">
        <f>Calculate!R6</f>
        <v>731873232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5/25.4</f>
        <v>0.1968503937</v>
      </c>
      <c r="J3" s="9">
        <v>5.0</v>
      </c>
      <c r="K3" s="1">
        <f t="shared" ref="K3:K8" si="1">PI()*J3^2/4</f>
        <v>19.63495408</v>
      </c>
      <c r="L3" s="3"/>
      <c r="M3" s="3"/>
      <c r="N3" s="3"/>
      <c r="O3" s="3"/>
      <c r="P3" s="3"/>
      <c r="Q3" s="1">
        <f>I39</f>
        <v>122.1867128</v>
      </c>
      <c r="R3" s="1">
        <f>I40</f>
        <v>0.004280071638</v>
      </c>
      <c r="S3" s="1">
        <f>I43</f>
        <v>4.797887856</v>
      </c>
      <c r="T3" s="1">
        <f>I42</f>
        <v>0.01839956432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23.5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365193.382</v>
      </c>
      <c r="R6" s="1">
        <f>D41</f>
        <v>731873232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23.5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60.0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774.0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3">180.3/3</f>
        <v>60.1</v>
      </c>
      <c r="M12" s="16">
        <f t="shared" ref="M12:M23" si="4">L12-VLOOKUP($D$22, $G$3:$K$8, 4, FALSE)</f>
        <v>47.4</v>
      </c>
      <c r="N12" s="3">
        <f t="shared" ref="N12:N23" si="5">M12^2</f>
        <v>2246.76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60.1</v>
      </c>
      <c r="M13" s="16">
        <f t="shared" si="4"/>
        <v>47.4</v>
      </c>
      <c r="N13" s="3">
        <f t="shared" si="5"/>
        <v>2246.76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</v>
      </c>
      <c r="E14" s="3"/>
      <c r="F14" s="3"/>
      <c r="G14" s="3"/>
      <c r="H14" s="3"/>
      <c r="K14" s="3"/>
      <c r="L14" s="15">
        <f t="shared" si="3"/>
        <v>60.1</v>
      </c>
      <c r="M14" s="16">
        <f t="shared" si="4"/>
        <v>47.4</v>
      </c>
      <c r="N14" s="3">
        <f t="shared" si="5"/>
        <v>2246.76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198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60.1</v>
      </c>
      <c r="M15" s="16">
        <f t="shared" si="4"/>
        <v>47.4</v>
      </c>
      <c r="N15" s="3">
        <f t="shared" si="5"/>
        <v>2246.76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198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60.1</v>
      </c>
      <c r="M16" s="16">
        <f t="shared" si="4"/>
        <v>47.4</v>
      </c>
      <c r="N16" s="3">
        <f t="shared" si="5"/>
        <v>2246.76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39.26990817</v>
      </c>
      <c r="E17" s="3"/>
      <c r="F17" s="3"/>
      <c r="G17" s="3"/>
      <c r="H17" s="3"/>
      <c r="I17" s="15"/>
      <c r="J17" s="15" t="s">
        <v>14</v>
      </c>
      <c r="K17" s="3"/>
      <c r="L17" s="15">
        <f t="shared" si="3"/>
        <v>60.1</v>
      </c>
      <c r="M17" s="16">
        <f t="shared" si="4"/>
        <v>47.4</v>
      </c>
      <c r="N17" s="3">
        <f t="shared" si="5"/>
        <v>2246.76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39204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60.1</v>
      </c>
      <c r="M18" s="16">
        <f t="shared" si="4"/>
        <v>47.4</v>
      </c>
      <c r="N18" s="3">
        <f t="shared" si="5"/>
        <v>2246.76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60.1</v>
      </c>
      <c r="M19" s="16">
        <f t="shared" si="4"/>
        <v>47.4</v>
      </c>
      <c r="N19" s="3">
        <f t="shared" si="5"/>
        <v>2246.76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60.1</v>
      </c>
      <c r="M20" s="16">
        <f t="shared" si="4"/>
        <v>47.4</v>
      </c>
      <c r="N20" s="3">
        <f t="shared" si="5"/>
        <v>2246.76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99.5</v>
      </c>
      <c r="J21" s="3"/>
      <c r="K21" s="3"/>
      <c r="L21" s="15">
        <f t="shared" si="3"/>
        <v>60.1</v>
      </c>
      <c r="M21" s="16">
        <f t="shared" si="4"/>
        <v>47.4</v>
      </c>
      <c r="N21" s="3">
        <f t="shared" si="5"/>
        <v>2246.76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60.1</v>
      </c>
      <c r="M22" s="16">
        <f t="shared" si="4"/>
        <v>47.4</v>
      </c>
      <c r="N22" s="3">
        <f t="shared" si="5"/>
        <v>2246.76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60.1</v>
      </c>
      <c r="M23" s="16">
        <f t="shared" si="4"/>
        <v>47.4</v>
      </c>
      <c r="N23" s="3">
        <f t="shared" si="5"/>
        <v>2246.76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379.0</v>
      </c>
      <c r="E24" s="3"/>
      <c r="F24" s="3"/>
      <c r="G24" s="3" t="s">
        <v>58</v>
      </c>
      <c r="I24" s="3">
        <f>15000*SQRT(I21*100/9.8)*0.8*9.8/100</f>
        <v>37471.90948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0.038774677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0.024321959</v>
      </c>
      <c r="E27" s="3"/>
      <c r="F27" s="3"/>
      <c r="G27" s="3" t="s">
        <v>63</v>
      </c>
      <c r="I27" s="3">
        <f>(D18-SUM(N:N)/6)*(1-D14/2/D16)*(1-D14/2/D15)</f>
        <v>26498.57045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0.7031805686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0.006611095651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0.006611095651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0.0132221913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15613.29562</v>
      </c>
      <c r="E32" s="3"/>
      <c r="F32" s="3"/>
      <c r="G32" s="3" t="s">
        <v>71</v>
      </c>
      <c r="I32" s="3">
        <f>I28*I29*$D$12</f>
        <v>3.598166555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10.23397607</v>
      </c>
      <c r="F33" s="3"/>
      <c r="G33" s="3" t="s">
        <v>73</v>
      </c>
      <c r="I33" s="3">
        <f>I28*I30*D12</f>
        <v>3.598166555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0.03616247794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0.6251195652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1.625119565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3.291739662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164586.9831</v>
      </c>
      <c r="E38" s="3"/>
      <c r="F38" s="3"/>
      <c r="G38" s="3" t="s">
        <v>83</v>
      </c>
      <c r="I38" s="3">
        <f>1+I36*I34*(0.1+0.9/(1+I37*I34))</f>
        <v>1.228007164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200606.3989</v>
      </c>
      <c r="E39" s="3"/>
      <c r="F39" s="3"/>
      <c r="G39" s="3" t="s">
        <v>0</v>
      </c>
      <c r="I39" s="3">
        <f>I21*I38</f>
        <v>122.1867128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365193.382</v>
      </c>
      <c r="E40" s="3"/>
      <c r="F40" s="3"/>
      <c r="G40" s="3" t="s">
        <v>1</v>
      </c>
      <c r="I40" s="3">
        <f>I22*(1+5*(I39/I21-1))</f>
        <v>0.004280071638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731873232</v>
      </c>
      <c r="E41" s="3"/>
      <c r="F41" s="3"/>
      <c r="G41" s="3" t="s">
        <v>85</v>
      </c>
      <c r="I41" s="3">
        <f>I24/(I24-I39/I40)</f>
        <v>4.198961439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0.01839956432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4.797887856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