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jcaUrnl6fwrusXJiBpNsdMauqYbB02WoozD/p73OtOM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<sst xmlns="http://schemas.openxmlformats.org/spreadsheetml/2006/main" count="109" uniqueCount="86">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</sst>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714375</xdr:colOff>
      <xdr:row>16</xdr:row>
      <xdr:rowOff>57150</xdr:rowOff>
    </xdr:from>
    <xdr:ext cx="8829675" cy="64389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32.57789695</v>
      </c>
      <c r="B2" s="2">
        <f>Calculate!R3</f>
        <v>0.00289561771</v>
      </c>
      <c r="C2" s="2">
        <f>Calculate!S3</f>
        <v>3.905327214</v>
      </c>
      <c r="D2" s="2">
        <f>Calculate!T3</f>
        <v>0.03198266738</v>
      </c>
      <c r="E2" s="2">
        <f>Calculate!Q6</f>
        <v>86272.24515</v>
      </c>
      <c r="F2" s="2">
        <f>Calculate!R6</f>
        <v>298180905.6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6" width="9.14"/>
    <col customWidth="1" min="17" max="17" width="13.0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32.57789695</v>
      </c>
      <c r="R3" s="1">
        <f>I40</f>
        <v>0.00289561771</v>
      </c>
      <c r="S3" s="1">
        <f>I43</f>
        <v>3.905327214</v>
      </c>
      <c r="T3" s="1">
        <f>I42</f>
        <v>0.03198266738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86272.24515</v>
      </c>
      <c r="R6" s="1">
        <f>D41</f>
        <v>298180905.6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76.2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69.85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29.9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20541.39236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2652.308888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0.1629259606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0.003636102608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0.01090830782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0.01454441043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8558.913482</v>
      </c>
      <c r="E32" s="3"/>
      <c r="F32" s="3"/>
      <c r="G32" s="3" t="s">
        <v>71</v>
      </c>
      <c r="I32" s="3">
        <f>I28*I29*$D$12</f>
        <v>0.2434235332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5.976298247</v>
      </c>
      <c r="F33" s="3"/>
      <c r="G33" s="3" t="s">
        <v>73</v>
      </c>
      <c r="I33" s="3">
        <f>I28*I30*D12</f>
        <v>0.7302705996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0.01628251058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0.18785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1.18785</v>
      </c>
      <c r="E36" s="3">
        <f>1+D35</f>
        <v>1.18785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1.621219345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60246.48225</v>
      </c>
      <c r="E38" s="3"/>
      <c r="F38" s="3"/>
      <c r="G38" s="3" t="s">
        <v>83</v>
      </c>
      <c r="I38" s="3">
        <f>1+I36*I34*(0.1+0.9/(1+I37*I34))</f>
        <v>1.089561771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26025.7629</v>
      </c>
      <c r="E39" s="3"/>
      <c r="F39" s="3"/>
      <c r="G39" s="3" t="s">
        <v>0</v>
      </c>
      <c r="I39" s="3">
        <f>I21*I38</f>
        <v>32.57789695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86272.24515</v>
      </c>
      <c r="E40" s="3"/>
      <c r="F40" s="3"/>
      <c r="G40" s="3" t="s">
        <v>1</v>
      </c>
      <c r="I40" s="3">
        <f>I22*(1+5*(I39/I21-1))</f>
        <v>0.00289561771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298180905.6</v>
      </c>
      <c r="E41" s="3"/>
      <c r="F41" s="3"/>
      <c r="G41" s="3" t="s">
        <v>85</v>
      </c>
      <c r="I41" s="3">
        <f>I24/(I24-I39/I40)</f>
        <v>2.210978684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0.03198266738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3.905327214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