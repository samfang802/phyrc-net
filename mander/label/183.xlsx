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zZ0TlaVTRJHPiz9FzTVlspm/QIbL3/YLWhHvHC40Twg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<sst xmlns="http://schemas.openxmlformats.org/spreadsheetml/2006/main" count="109" uniqueCount="87">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</sst>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5476875" cy="24003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63.12987125</v>
      </c>
      <c r="B2" s="2">
        <f>Calculate!R3</f>
        <v>0.005070366719</v>
      </c>
      <c r="C2" s="2">
        <f>Calculate!S3</f>
        <v>18.007664</v>
      </c>
      <c r="D2" s="2">
        <f>Calculate!T3</f>
        <v>0.0400867839</v>
      </c>
      <c r="E2" s="2">
        <f>Calculate!Q6</f>
        <v>163460.4802</v>
      </c>
      <c r="F2" s="2">
        <f>Calculate!R6</f>
        <v>336209473.7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63.12987125</v>
      </c>
      <c r="R3" s="1">
        <f>I40</f>
        <v>0.005070366719</v>
      </c>
      <c r="S3" s="1">
        <f>I43</f>
        <v>18.007664</v>
      </c>
      <c r="T3" s="1">
        <f>I42</f>
        <v>0.0400867839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32.7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163460.4802</v>
      </c>
      <c r="R6" s="1">
        <f>D41</f>
        <v>336209473.7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38.3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406.8</v>
      </c>
      <c r="E12" s="3"/>
      <c r="F12" s="3"/>
      <c r="G12" s="3"/>
      <c r="H12" s="3"/>
      <c r="I12" s="13"/>
      <c r="J12" s="13" t="s">
        <v>15</v>
      </c>
      <c r="K12" s="3"/>
      <c r="L12" s="13">
        <f>203-2*32.7-34.93</f>
        <v>102.67</v>
      </c>
      <c r="M12" s="14">
        <f t="shared" ref="M12:M17" si="3">L12-VLOOKUP($D$22, $G$3:$K$8, 4, FALSE)</f>
        <v>86.795</v>
      </c>
      <c r="N12" s="3">
        <f t="shared" ref="N12:N17" si="4">M12^2</f>
        <v>7533.372025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203-2*38.3-34.93</f>
        <v>91.47</v>
      </c>
      <c r="M13" s="14">
        <f t="shared" si="3"/>
        <v>75.595</v>
      </c>
      <c r="N13" s="3">
        <f t="shared" si="4"/>
        <v>5714.604025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66.675</v>
      </c>
      <c r="E14" s="3"/>
      <c r="F14" s="3"/>
      <c r="G14" s="3"/>
      <c r="H14" s="3"/>
      <c r="K14" s="3"/>
      <c r="L14" s="13">
        <f>203-2*32.7-34.93</f>
        <v>102.67</v>
      </c>
      <c r="M14" s="14">
        <f t="shared" si="3"/>
        <v>86.795</v>
      </c>
      <c r="N14" s="3">
        <f t="shared" si="4"/>
        <v>7533.372025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116.875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203-2*38.3-34.93</f>
        <v>91.47</v>
      </c>
      <c r="M15" s="14">
        <f t="shared" si="3"/>
        <v>75.595</v>
      </c>
      <c r="N15" s="3">
        <f t="shared" si="4"/>
        <v>5714.604025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128.075</v>
      </c>
      <c r="E16" s="3"/>
      <c r="F16" s="3"/>
      <c r="G16" s="3"/>
      <c r="H16" s="3"/>
      <c r="I16" s="9">
        <v>2.0</v>
      </c>
      <c r="J16" s="13" t="s">
        <v>12</v>
      </c>
      <c r="K16" s="3"/>
      <c r="L16" s="13"/>
      <c r="M16" s="14">
        <f t="shared" si="3"/>
        <v>-15.875</v>
      </c>
      <c r="N16" s="3">
        <f t="shared" si="4"/>
        <v>252.015625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13"/>
      <c r="M17" s="14">
        <f t="shared" si="3"/>
        <v>-15.875</v>
      </c>
      <c r="N17" s="3">
        <f t="shared" si="4"/>
        <v>252.015625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14968.76563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48.3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586.1</v>
      </c>
      <c r="E24" s="3"/>
      <c r="F24" s="3"/>
      <c r="G24" s="3" t="s">
        <v>59</v>
      </c>
      <c r="I24" s="3">
        <f>15000*SQRT(I21*100/9.8)*0.8*9.8/100</f>
        <v>26107.65405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0.05289216599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5534.941025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0.3904159756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0.01460261079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0.01600196258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0.03060457337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10878.18919</v>
      </c>
      <c r="E32" s="3"/>
      <c r="F32" s="3"/>
      <c r="G32" s="3" t="s">
        <v>72</v>
      </c>
      <c r="I32" s="3">
        <f>I28*I29*$D$12</f>
        <v>2.319204444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12.44994045</v>
      </c>
      <c r="F33" s="3"/>
      <c r="G33" s="3" t="s">
        <v>74</v>
      </c>
      <c r="I33" s="3">
        <f>I28*I30*D12</f>
        <v>2.541451202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0.05031734623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0.30345</v>
      </c>
      <c r="E35" s="3"/>
      <c r="F35" s="3"/>
      <c r="G35" s="3" t="s">
        <v>78</v>
      </c>
      <c r="I35" s="3">
        <f>MIN(I32, I33)/MAX(I32, I33)</f>
        <v>0.9125512395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1.30345</v>
      </c>
      <c r="E36" s="3">
        <f>1+D35</f>
        <v>1.30345</v>
      </c>
      <c r="F36" s="3"/>
      <c r="G36" s="3" t="s">
        <v>80</v>
      </c>
      <c r="I36" s="3">
        <f>6.8886-(0.6069+17.275*I35)*EXP(1)^(-4.989*I35)</f>
        <v>6.716071537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2.261062269</v>
      </c>
      <c r="E37" s="3"/>
      <c r="F37" s="3"/>
      <c r="G37" s="3" t="s">
        <v>82</v>
      </c>
      <c r="I37" s="3">
        <f>4.5/(5/I36*(0.9849-0.6306*EXP(1)^(-3.989*I35))-0.1)-5</f>
        <v>2.24732803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74540.89202</v>
      </c>
      <c r="E38" s="3"/>
      <c r="F38" s="3"/>
      <c r="G38" s="3" t="s">
        <v>84</v>
      </c>
      <c r="I38" s="3">
        <f>1+I36*I34*(0.1+0.9/(1+I37*I34))</f>
        <v>1.307036672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88919.58815</v>
      </c>
      <c r="E39" s="3"/>
      <c r="F39" s="3"/>
      <c r="G39" s="3" t="s">
        <v>0</v>
      </c>
      <c r="I39" s="3">
        <f>I21*I38</f>
        <v>63.12987125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163460.4802</v>
      </c>
      <c r="E40" s="3"/>
      <c r="F40" s="3"/>
      <c r="G40" s="3" t="s">
        <v>1</v>
      </c>
      <c r="I40" s="3">
        <f>I22*(1+5*(I39/I21-1))</f>
        <v>0.005070366719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336209473.7</v>
      </c>
      <c r="E41" s="3"/>
      <c r="F41" s="3"/>
      <c r="G41" s="3" t="s">
        <v>86</v>
      </c>
      <c r="I41" s="3">
        <f>I24/(I24-I39/I40)</f>
        <v>1.911681815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0.0400867839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18.007664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