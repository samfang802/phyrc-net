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iIeJ4EOYsZ/E23HMtcS5Sc4ruQGMsW7Uo9UQRQz/io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<sst xmlns="http://schemas.openxmlformats.org/spreadsheetml/2006/main" count="109" uniqueCount="87">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</sst>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27.74708687</v>
      </c>
      <c r="B2" s="2">
        <f>Calculate!R3</f>
        <v>0.002631067767</v>
      </c>
      <c r="C2" s="2">
        <f>Calculate!S3</f>
        <v>3.639053637</v>
      </c>
      <c r="D2" s="2">
        <f>Calculate!T3</f>
        <v>0.02659304461</v>
      </c>
      <c r="E2" s="2">
        <f>Calculate!Q6</f>
        <v>117423.8229</v>
      </c>
      <c r="F2" s="2">
        <f>Calculate!R6</f>
        <v>278040452.4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27.74708687</v>
      </c>
      <c r="R3" s="1">
        <f>I40</f>
        <v>0.002631067767</v>
      </c>
      <c r="S3" s="1">
        <f>I43</f>
        <v>3.639053637</v>
      </c>
      <c r="T3" s="1">
        <f>I42</f>
        <v>0.02659304461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117423.8229</v>
      </c>
      <c r="R6" s="1">
        <f>D41</f>
        <v>278040452.4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89.0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82.65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26.1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19191.74823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2593.551361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0.1434582328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0.009407373532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0.002801290328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0.01220866386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7996.561761</v>
      </c>
      <c r="E32" s="3"/>
      <c r="F32" s="3"/>
      <c r="G32" s="3" t="s">
        <v>72</v>
      </c>
      <c r="I32" s="3">
        <f>I28*I29*$D$12</f>
        <v>0.4655999879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4.211989032</v>
      </c>
      <c r="F33" s="3"/>
      <c r="G33" s="3" t="s">
        <v>74</v>
      </c>
      <c r="I33" s="3">
        <f>I28*I30*D12</f>
        <v>0.1386445152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0.01157556519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0.163976087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1.163976087</v>
      </c>
      <c r="E36" s="3">
        <f>1+D35</f>
        <v>1.163976087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1.484256272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55048.09662</v>
      </c>
      <c r="E38" s="3"/>
      <c r="F38" s="3"/>
      <c r="G38" s="3" t="s">
        <v>84</v>
      </c>
      <c r="I38" s="3">
        <f>1+I36*I34*(0.1+0.9/(1+I37*I34))</f>
        <v>1.063106777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62375.72626</v>
      </c>
      <c r="E39" s="3"/>
      <c r="F39" s="3"/>
      <c r="G39" s="3" t="s">
        <v>0</v>
      </c>
      <c r="I39" s="3">
        <f>I21*I38</f>
        <v>27.74708687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117423.8229</v>
      </c>
      <c r="E40" s="3"/>
      <c r="F40" s="3"/>
      <c r="G40" s="3" t="s">
        <v>1</v>
      </c>
      <c r="I40" s="3">
        <f>I22*(1+5*(I39/I21-1))</f>
        <v>0.002631067767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278040452.4</v>
      </c>
      <c r="E41" s="3"/>
      <c r="F41" s="3"/>
      <c r="G41" s="3" t="s">
        <v>86</v>
      </c>
      <c r="I41" s="3">
        <f>I24/(I24-I39/I40)</f>
        <v>2.219775313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0.02659304461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3.639053637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