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4999F91E-4449-4A99-9C90-02A37F595C2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sDNVnlTeL5BR0O9a4lESMtQIA2prVMRlwcP2ZMAT9M="/>
    </ext>
  </extLst>
</workbook>
</file>

<file path=xl/calcChain.xml><?xml version="1.0" encoding="utf-8"?>
<calcChain xmlns="http://schemas.openxmlformats.org/spreadsheetml/2006/main">
  <c r="D35" i="2" l="1"/>
  <c r="E36" i="2" s="1"/>
  <c r="I24" i="2"/>
  <c r="D17" i="2"/>
  <c r="D16" i="2"/>
  <c r="D15" i="2"/>
  <c r="D14" i="2"/>
  <c r="I8" i="2"/>
  <c r="J8" i="2" s="1"/>
  <c r="K8" i="2" s="1"/>
  <c r="J7" i="2"/>
  <c r="K7" i="2" s="1"/>
  <c r="I7" i="2"/>
  <c r="I6" i="2"/>
  <c r="J6" i="2" s="1"/>
  <c r="K6" i="2" s="1"/>
  <c r="J5" i="2"/>
  <c r="K5" i="2" s="1"/>
  <c r="I5" i="2"/>
  <c r="I4" i="2"/>
  <c r="J4" i="2" s="1"/>
  <c r="K3" i="2"/>
  <c r="I3" i="2"/>
  <c r="M14" i="2" l="1"/>
  <c r="N14" i="2" s="1"/>
  <c r="M15" i="2"/>
  <c r="N15" i="2" s="1"/>
  <c r="M13" i="2"/>
  <c r="N13" i="2" s="1"/>
  <c r="K4" i="2"/>
  <c r="M12" i="2"/>
  <c r="N12" i="2" s="1"/>
  <c r="D39" i="2"/>
  <c r="D18" i="2"/>
  <c r="I30" i="2"/>
  <c r="D36" i="2"/>
  <c r="D32" i="2"/>
  <c r="D41" i="2" s="1"/>
  <c r="R6" i="2" s="1"/>
  <c r="F2" i="1" s="1"/>
  <c r="I27" i="2" l="1"/>
  <c r="I29" i="2"/>
  <c r="I31" i="2" s="1"/>
  <c r="D25" i="2"/>
  <c r="D27" i="2" l="1"/>
  <c r="D26" i="2"/>
  <c r="E33" i="2"/>
  <c r="D33" i="2"/>
  <c r="I42" i="2"/>
  <c r="T3" i="2" s="1"/>
  <c r="D2" i="1" s="1"/>
  <c r="I28" i="2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<sst xmlns="http://schemas.openxmlformats.org/spreadsheetml/2006/main" count="109" uniqueCount="86">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</sst>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276225</xdr:colOff>
      <xdr:row>16</xdr:row>
      <xdr:rowOff>47625</xdr:rowOff>
    </xdr:from>
    <xdr:ext cx="7953375" cy="43529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37.908332952267862</v>
      </c>
      <c r="B2" s="2">
        <f>Calculate!R3</f>
        <v>2.61858065889856E-3</v>
      </c>
      <c r="C2" s="2">
        <f>Calculate!S3</f>
        <v>7.7773317372362252</v>
      </c>
      <c r="D2" s="2">
        <f>Calculate!T3</f>
        <v>1.0878001615355359E-2</v>
      </c>
      <c r="E2" s="2">
        <f>Calculate!Q6</f>
        <v>284591.14982843655</v>
      </c>
      <c r="F2" s="2">
        <f>Calculate!R6</f>
        <v>1122272694.1345408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2" sqref="L12:L15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J3/25.4</f>
        <v>0.23622047244094491</v>
      </c>
      <c r="J3" s="7"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37.908332952267862</v>
      </c>
      <c r="R3" s="1">
        <f>I40</f>
        <v>2.61858065889856E-3</v>
      </c>
      <c r="S3" s="1">
        <f>I43</f>
        <v>7.7773317372362252</v>
      </c>
      <c r="T3" s="1">
        <f>I42</f>
        <v>1.0878001615355359E-2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400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400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27.5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284591.14982843655</v>
      </c>
      <c r="R6" s="1">
        <f>D41</f>
        <v>1122272694.1345408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27.5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70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368</v>
      </c>
      <c r="E12" s="3"/>
      <c r="F12" s="3"/>
      <c r="G12" s="3"/>
      <c r="H12" s="3"/>
      <c r="I12" s="12"/>
      <c r="J12" s="12" t="s">
        <v>14</v>
      </c>
      <c r="K12" s="3"/>
      <c r="L12" s="8">
        <v>320</v>
      </c>
      <c r="M12" s="13">
        <f t="shared" ref="M12:M31" si="2">L12-VLOOKUP($D$22, $G$3:$K$8, 4, FALSE)</f>
        <v>307.3</v>
      </c>
      <c r="N12" s="3">
        <f t="shared" ref="N12:N31" si="3">M12^2</f>
        <v>94433.290000000008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8">
        <v>320</v>
      </c>
      <c r="M13" s="13">
        <f t="shared" si="2"/>
        <v>307.3</v>
      </c>
      <c r="N13" s="3">
        <f t="shared" si="3"/>
        <v>94433.290000000008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64</v>
      </c>
      <c r="E14" s="3"/>
      <c r="F14" s="3"/>
      <c r="G14" s="3"/>
      <c r="H14" s="3"/>
      <c r="K14" s="3"/>
      <c r="L14" s="8">
        <v>320</v>
      </c>
      <c r="M14" s="13">
        <f t="shared" si="2"/>
        <v>307.3</v>
      </c>
      <c r="N14" s="3">
        <f t="shared" si="3"/>
        <v>94433.290000000008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339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8">
        <v>320</v>
      </c>
      <c r="M15" s="13">
        <f t="shared" si="2"/>
        <v>307.3</v>
      </c>
      <c r="N15" s="3">
        <f t="shared" si="3"/>
        <v>94433.290000000008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339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114921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8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35.700000000000003</v>
      </c>
      <c r="J21" s="3"/>
      <c r="K21" s="3"/>
      <c r="L21" s="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L22" s="8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20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L23" s="8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363</v>
      </c>
      <c r="E24" s="3"/>
      <c r="F24" s="3"/>
      <c r="G24" s="15" t="s">
        <v>58</v>
      </c>
      <c r="H24" s="16"/>
      <c r="I24" s="3">
        <f>15000*SQRT(I21*100/9.8)*0.8*9.8/100</f>
        <v>22445.453882690814</v>
      </c>
      <c r="J24" s="3"/>
      <c r="K24" s="3"/>
      <c r="L24" s="8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2533.5373954874885</v>
      </c>
      <c r="E25" s="3"/>
      <c r="F25" s="3"/>
      <c r="G25" s="3"/>
      <c r="H25" s="3"/>
      <c r="I25" s="3"/>
      <c r="J25" s="3"/>
      <c r="K25" s="3"/>
      <c r="L25" s="8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2.2045904538661242E-2</v>
      </c>
      <c r="E26" s="3"/>
      <c r="F26" s="3"/>
      <c r="G26" s="17" t="s">
        <v>61</v>
      </c>
      <c r="H26" s="16"/>
      <c r="I26" s="16"/>
      <c r="J26" s="3"/>
      <c r="K26" s="3"/>
      <c r="L26" s="8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1.5834608721796803E-2</v>
      </c>
      <c r="E27" s="3"/>
      <c r="F27" s="3"/>
      <c r="G27" s="15" t="s">
        <v>63</v>
      </c>
      <c r="H27" s="16"/>
      <c r="I27" s="3">
        <f>(D18-SUM(N:N)/6)*(1-D14/2/D16)*(1-D14/2/D15)</f>
        <v>42617.91923315436</v>
      </c>
      <c r="J27" s="3"/>
      <c r="L27" s="8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0.37920528006869686</v>
      </c>
      <c r="J28" s="3"/>
      <c r="K28" s="3"/>
      <c r="L28" s="8"/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2.3830032770592612E-3</v>
      </c>
      <c r="J29" s="3"/>
      <c r="K29" s="3"/>
      <c r="L29" s="8"/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2.3830032770592612E-3</v>
      </c>
      <c r="J30" s="3"/>
      <c r="K30" s="3"/>
      <c r="L30" s="8"/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4.7660065541185225E-3</v>
      </c>
      <c r="J31" s="3"/>
      <c r="K31" s="3"/>
      <c r="L31" s="8"/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9352.2724511211727</v>
      </c>
      <c r="E32" s="3"/>
      <c r="F32" s="3"/>
      <c r="G32" s="15" t="s">
        <v>71</v>
      </c>
      <c r="H32" s="16"/>
      <c r="I32" s="3">
        <f>I28*I29*$D$12</f>
        <v>0.33254225243013169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1.7538904119156162</v>
      </c>
      <c r="E33" s="3">
        <f>D12*I31</f>
        <v>1.7538904119156162</v>
      </c>
      <c r="F33" s="3"/>
      <c r="G33" s="15" t="s">
        <v>73</v>
      </c>
      <c r="H33" s="16"/>
      <c r="I33" s="3">
        <f>I28*I30*D12</f>
        <v>0.33254225243013169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0.19631123295324926</v>
      </c>
      <c r="E34" s="3">
        <f>D33/12.5+0.305-0.083*3</f>
        <v>0.19631123295324926</v>
      </c>
      <c r="F34" s="3"/>
      <c r="G34" s="15" t="s">
        <v>75</v>
      </c>
      <c r="H34" s="16"/>
      <c r="I34" s="3">
        <f>(I32+I33)/2/I21</f>
        <v>9.3149090316563491E-3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0.2242891304347826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1.2242891304347827</v>
      </c>
      <c r="E36" s="3">
        <f>1+D35</f>
        <v>1.2242891304347827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1.4360291391762443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183811.72981455928</v>
      </c>
      <c r="E38" s="3"/>
      <c r="F38" s="3"/>
      <c r="G38" s="15" t="s">
        <v>83</v>
      </c>
      <c r="H38" s="16"/>
      <c r="I38" s="3">
        <f>1+I36*I34*(0.1+0.9/(1+I37*I34))</f>
        <v>1.061858065889856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100779.42001387727</v>
      </c>
      <c r="E39" s="3"/>
      <c r="F39" s="3"/>
      <c r="G39" s="15" t="s">
        <v>0</v>
      </c>
      <c r="H39" s="16"/>
      <c r="I39" s="3">
        <f>I21*I38</f>
        <v>37.908332952267862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284591.14982843655</v>
      </c>
      <c r="E40" s="3"/>
      <c r="F40" s="3"/>
      <c r="G40" s="15" t="s">
        <v>1</v>
      </c>
      <c r="H40" s="16"/>
      <c r="I40" s="3">
        <f>I22*(1+5*(I39/I21-1))</f>
        <v>2.61858065889856E-3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1122272694.1345408</v>
      </c>
      <c r="E41" s="3"/>
      <c r="F41" s="3"/>
      <c r="G41" s="15" t="s">
        <v>85</v>
      </c>
      <c r="H41" s="16"/>
      <c r="I41" s="3">
        <f>I24/(I24-I39/I40)</f>
        <v>2.8166730918629996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1.0878001615355359E-2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7.7773317372362252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2024-05-16T11:51:02Z</dcterms:modified>
</cp:coreProperties>
</file>