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62S7l8CoSBobVSwT2Gc53DNi7CMx93Q6WjLEdFpqiso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<sst xmlns="http://schemas.openxmlformats.org/spreadsheetml/2006/main" count="109" uniqueCount="86">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</sst>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21</xdr:row>
      <xdr:rowOff>104775</xdr:rowOff>
    </xdr:from>
    <xdr:ext cx="8829675" cy="63436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39.09320956</v>
      </c>
      <c r="B2" s="2">
        <f>Calculate!R3</f>
        <v>0.002739892736</v>
      </c>
      <c r="C2" s="2">
        <f>Calculate!S3</f>
        <v>2.156244218</v>
      </c>
      <c r="D2" s="2">
        <f>Calculate!T3</f>
        <v>0.02698576249</v>
      </c>
      <c r="E2" s="2">
        <f>Calculate!Q6</f>
        <v>94784.26981</v>
      </c>
      <c r="F2" s="2">
        <f>Calculate!R6</f>
        <v>328999264.5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39.09320956</v>
      </c>
      <c r="R3" s="1">
        <f>I40</f>
        <v>0.002739892736</v>
      </c>
      <c r="S3" s="1">
        <f>I43</f>
        <v>2.156244218</v>
      </c>
      <c r="T3" s="1">
        <f>I42</f>
        <v>0.02698576249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94784.26981</v>
      </c>
      <c r="R6" s="1">
        <f>D41</f>
        <v>328999264.5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76.2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69.85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36.4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22664.43911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2652.308888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0.1629259606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0.003636102608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0.01090830782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0.01454441043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9443.516294</v>
      </c>
      <c r="E32" s="3"/>
      <c r="F32" s="3"/>
      <c r="G32" s="3" t="s">
        <v>71</v>
      </c>
      <c r="I32" s="3">
        <f>I28*I29*$D$12</f>
        <v>0.2434235332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5.976298247</v>
      </c>
      <c r="F33" s="3"/>
      <c r="G33" s="3" t="s">
        <v>73</v>
      </c>
      <c r="I33" s="3">
        <f>I28*I30*D12</f>
        <v>0.7302705996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0.01337491941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0.2286869565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1.228686957</v>
      </c>
      <c r="E36" s="3">
        <f>1+D35</f>
        <v>1.228686957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1.850276022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68758.50691</v>
      </c>
      <c r="E38" s="3"/>
      <c r="F38" s="3"/>
      <c r="G38" s="3" t="s">
        <v>83</v>
      </c>
      <c r="I38" s="3">
        <f>1+I36*I34*(0.1+0.9/(1+I37*I34))</f>
        <v>1.073989274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26025.7629</v>
      </c>
      <c r="E39" s="3"/>
      <c r="F39" s="3"/>
      <c r="G39" s="3" t="s">
        <v>0</v>
      </c>
      <c r="I39" s="3">
        <f>I21*I38</f>
        <v>39.09320956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94784.26981</v>
      </c>
      <c r="E40" s="3"/>
      <c r="F40" s="3"/>
      <c r="G40" s="3" t="s">
        <v>1</v>
      </c>
      <c r="I40" s="3">
        <f>I22*(1+5*(I39/I21-1))</f>
        <v>0.002739892736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328999264.5</v>
      </c>
      <c r="E41" s="3"/>
      <c r="F41" s="3"/>
      <c r="G41" s="3" t="s">
        <v>85</v>
      </c>
      <c r="I41" s="3">
        <f>I24/(I24-I39/I40)</f>
        <v>2.699341066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0.02698576249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2.156244218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