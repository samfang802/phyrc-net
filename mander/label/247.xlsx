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qdji7+aGlneRWHGsoN8H9VQFV+8TgLI4AZl2P58k/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<sst xmlns="http://schemas.openxmlformats.org/spreadsheetml/2006/main" count="109" uniqueCount="87">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</sst>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495300</xdr:colOff>
      <xdr:row>17</xdr:row>
      <xdr:rowOff>133350</xdr:rowOff>
    </xdr:from>
    <xdr:ext cx="6391275" cy="3600450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552450</xdr:colOff>
      <xdr:row>9</xdr:row>
      <xdr:rowOff>142875</xdr:rowOff>
    </xdr:from>
    <xdr:ext cx="2276475" cy="4714875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54.16563116</v>
      </c>
      <c r="B2" s="2">
        <f>Calculate!R3</f>
        <v>0.008821624584</v>
      </c>
      <c r="C2" s="2">
        <f>Calculate!S3</f>
        <v>36.33476238</v>
      </c>
      <c r="D2" s="2">
        <f>Calculate!T3</f>
        <v>0.05033400851</v>
      </c>
      <c r="E2" s="2">
        <f>Calculate!Q6</f>
        <v>1750279.677</v>
      </c>
      <c r="F2" s="2">
        <f>Calculate!R6</f>
        <v>2089047406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54.16563116</v>
      </c>
      <c r="R3" s="1">
        <f>I40</f>
        <v>0.008821624584</v>
      </c>
      <c r="S3" s="1">
        <f>I43</f>
        <v>36.33476238</v>
      </c>
      <c r="T3" s="1">
        <f>I42</f>
        <v>0.05033400851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560.0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560.0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24.5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1750279.677</v>
      </c>
      <c r="R6" s="1">
        <f>D41</f>
        <v>2089047406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24.5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100.0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15</v>
      </c>
      <c r="E11" s="3"/>
      <c r="F11" s="3"/>
      <c r="G11" s="3"/>
      <c r="H11" s="3"/>
      <c r="I11" s="13"/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524.0</v>
      </c>
      <c r="E12" s="3"/>
      <c r="F12" s="3"/>
      <c r="G12" s="3"/>
      <c r="H12" s="3"/>
      <c r="I12" s="9">
        <v>4.0</v>
      </c>
      <c r="J12" s="13" t="s">
        <v>15</v>
      </c>
      <c r="K12" s="3"/>
      <c r="L12" s="9">
        <v>153.4</v>
      </c>
      <c r="M12" s="14">
        <f t="shared" ref="M12:M23" si="3">L12-VLOOKUP($D$22, $G$3:$K$8, 4, FALSE)</f>
        <v>128</v>
      </c>
      <c r="N12" s="3">
        <f t="shared" ref="N12:N23" si="4">M12^2</f>
        <v>16384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2.0</v>
      </c>
      <c r="E13" s="3"/>
      <c r="F13" s="3"/>
      <c r="G13" s="3"/>
      <c r="H13" s="3"/>
      <c r="I13" s="13"/>
      <c r="J13" s="13" t="s">
        <v>18</v>
      </c>
      <c r="K13" s="3"/>
      <c r="L13" s="9">
        <v>153.4</v>
      </c>
      <c r="M13" s="14">
        <f t="shared" si="3"/>
        <v>128</v>
      </c>
      <c r="N13" s="3">
        <f t="shared" si="4"/>
        <v>16384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74.6</v>
      </c>
      <c r="E14" s="3"/>
      <c r="F14" s="3"/>
      <c r="G14" s="3"/>
      <c r="H14" s="3"/>
      <c r="K14" s="3"/>
      <c r="L14" s="9">
        <v>153.4</v>
      </c>
      <c r="M14" s="14">
        <f t="shared" si="3"/>
        <v>128</v>
      </c>
      <c r="N14" s="3">
        <f t="shared" si="4"/>
        <v>16384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498.3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153.4</v>
      </c>
      <c r="M15" s="14">
        <f t="shared" si="3"/>
        <v>128</v>
      </c>
      <c r="N15" s="3">
        <f t="shared" si="4"/>
        <v>16384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498.3</v>
      </c>
      <c r="E16" s="3"/>
      <c r="F16" s="3"/>
      <c r="G16" s="3"/>
      <c r="H16" s="3"/>
      <c r="I16" s="13"/>
      <c r="J16" s="13" t="s">
        <v>12</v>
      </c>
      <c r="K16" s="3"/>
      <c r="L16" s="9">
        <v>153.4</v>
      </c>
      <c r="M16" s="14">
        <f t="shared" si="3"/>
        <v>128</v>
      </c>
      <c r="N16" s="3">
        <f t="shared" si="4"/>
        <v>16384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253.3537395</v>
      </c>
      <c r="E17" s="3"/>
      <c r="F17" s="3"/>
      <c r="G17" s="3"/>
      <c r="H17" s="3"/>
      <c r="I17" s="9">
        <v>4.0</v>
      </c>
      <c r="J17" s="13" t="s">
        <v>15</v>
      </c>
      <c r="K17" s="3"/>
      <c r="L17" s="9">
        <v>153.4</v>
      </c>
      <c r="M17" s="14">
        <f t="shared" si="3"/>
        <v>128</v>
      </c>
      <c r="N17" s="3">
        <f t="shared" si="4"/>
        <v>16384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248302.89</v>
      </c>
      <c r="E18" s="3"/>
      <c r="F18" s="3"/>
      <c r="G18" s="3"/>
      <c r="H18" s="3"/>
      <c r="I18" s="13"/>
      <c r="J18" s="13" t="s">
        <v>18</v>
      </c>
      <c r="K18" s="3"/>
      <c r="L18" s="9">
        <v>153.4</v>
      </c>
      <c r="M18" s="14">
        <f t="shared" si="3"/>
        <v>128</v>
      </c>
      <c r="N18" s="3">
        <f t="shared" si="4"/>
        <v>16384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153.4</v>
      </c>
      <c r="M19" s="14">
        <f t="shared" si="3"/>
        <v>128</v>
      </c>
      <c r="N19" s="3">
        <f t="shared" si="4"/>
        <v>16384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9">
        <v>153.4</v>
      </c>
      <c r="M20" s="14">
        <f t="shared" si="3"/>
        <v>128</v>
      </c>
      <c r="N20" s="3">
        <f t="shared" si="4"/>
        <v>16384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32.2</v>
      </c>
      <c r="J21" s="3"/>
      <c r="K21" s="3"/>
      <c r="L21" s="9">
        <v>153.4</v>
      </c>
      <c r="M21" s="14">
        <f t="shared" si="3"/>
        <v>128</v>
      </c>
      <c r="N21" s="3">
        <f t="shared" si="4"/>
        <v>16384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L22" s="9">
        <v>153.4</v>
      </c>
      <c r="M22" s="14">
        <f t="shared" si="3"/>
        <v>128</v>
      </c>
      <c r="N22" s="3">
        <f t="shared" si="4"/>
        <v>16384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9">
        <v>153.4</v>
      </c>
      <c r="M23" s="14">
        <f t="shared" si="3"/>
        <v>128</v>
      </c>
      <c r="N23" s="3">
        <f t="shared" si="4"/>
        <v>16384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388.0</v>
      </c>
      <c r="E24" s="3"/>
      <c r="F24" s="3"/>
      <c r="G24" s="3" t="s">
        <v>59</v>
      </c>
      <c r="I24" s="3">
        <f>15000*SQRT(I21*100/9.8)*0.8*9.8/100</f>
        <v>21316.81027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6080.489749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0.02448819564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0.0193893168</v>
      </c>
      <c r="E27" s="3"/>
      <c r="F27" s="3"/>
      <c r="G27" s="3" t="s">
        <v>64</v>
      </c>
      <c r="I27" s="3">
        <f>(D18-SUM(N:N)/6)*(1-D14/2/D16)*(1-D14/2/D15)</f>
        <v>184475.0593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0.7615937218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0.01016872324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0.01016872324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0.02033744648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8882.004278</v>
      </c>
      <c r="E32" s="3"/>
      <c r="F32" s="3"/>
      <c r="G32" s="3" t="s">
        <v>72</v>
      </c>
      <c r="I32" s="3">
        <f>I28*I29*$D$12</f>
        <v>4.058084348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10.65682196</v>
      </c>
      <c r="F33" s="3"/>
      <c r="G33" s="3" t="s">
        <v>74</v>
      </c>
      <c r="I33" s="3">
        <f>I28*I30*D12</f>
        <v>4.058084348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0.1260274642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0.2023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1.2023</v>
      </c>
      <c r="E36" s="3">
        <f>1+D35</f>
        <v>1.2023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1.702885172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427219.8321</v>
      </c>
      <c r="E38" s="3"/>
      <c r="F38" s="3"/>
      <c r="G38" s="3" t="s">
        <v>84</v>
      </c>
      <c r="I38" s="3">
        <f>1+I36*I34*(0.1+0.9/(1+I37*I34))</f>
        <v>1.682162458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1323059.845</v>
      </c>
      <c r="E39" s="3"/>
      <c r="F39" s="3"/>
      <c r="G39" s="3" t="s">
        <v>0</v>
      </c>
      <c r="I39" s="3">
        <f>I21*I38</f>
        <v>54.16563116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1750279.677</v>
      </c>
      <c r="E40" s="3"/>
      <c r="F40" s="3"/>
      <c r="G40" s="3" t="s">
        <v>1</v>
      </c>
      <c r="I40" s="3">
        <f>I22*(1+5*(I39/I21-1))</f>
        <v>0.008821624584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2089047406</v>
      </c>
      <c r="E41" s="3"/>
      <c r="F41" s="3"/>
      <c r="G41" s="3" t="s">
        <v>86</v>
      </c>
      <c r="I41" s="3">
        <f>I24/(I24-I39/I40)</f>
        <v>1.404573571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0.05033400851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36.33476238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