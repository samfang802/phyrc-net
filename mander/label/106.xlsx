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C7A7DB14-84ED-4FE3-88CB-907A5D27044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HZoU6/PJ407r3n62n66E0E9n5/UsLbr68r/aTo10HI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D25" i="2"/>
  <c r="D27" i="2" s="1"/>
  <c r="I24" i="2"/>
  <c r="D17" i="2"/>
  <c r="D16" i="2"/>
  <c r="I29" i="2" s="1"/>
  <c r="I31" i="2" s="1"/>
  <c r="M15" i="2"/>
  <c r="N15" i="2" s="1"/>
  <c r="D15" i="2"/>
  <c r="I30" i="2" s="1"/>
  <c r="M14" i="2"/>
  <c r="N14" i="2" s="1"/>
  <c r="D14" i="2"/>
  <c r="M13" i="2"/>
  <c r="N13" i="2" s="1"/>
  <c r="M12" i="2"/>
  <c r="N12" i="2" s="1"/>
  <c r="K8" i="2"/>
  <c r="I8" i="2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K3" i="2"/>
  <c r="I3" i="2"/>
  <c r="I42" i="2" l="1"/>
  <c r="T3" i="2" s="1"/>
  <c r="D2" i="1" s="1"/>
  <c r="E33" i="2"/>
  <c r="D33" i="2"/>
  <c r="D39" i="2"/>
  <c r="D18" i="2"/>
  <c r="I27" i="2" s="1"/>
  <c r="E34" i="2" l="1"/>
  <c r="D34" i="2"/>
  <c r="D37" i="2" s="1"/>
  <c r="D38" i="2" s="1"/>
  <c r="D40" i="2" s="1"/>
  <c r="Q6" i="2" s="1"/>
  <c r="E2" i="1" s="1"/>
  <c r="D26" i="2"/>
  <c r="I28" i="2"/>
  <c r="I33" i="2" l="1"/>
  <c r="I32" i="2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<sst xmlns="http://schemas.openxmlformats.org/spreadsheetml/2006/main" count="109" uniqueCount="85">
  <si>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</si>
  <si>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</si>
  <si>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</si>
  <si>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</si>
  <si>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</si>
  <si>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</si>
  <si>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</si>
  <si>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</si>
  <si>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</si>
  <si>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</si>
  <si>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</si>
  <si>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</si>
  <si>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10mm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</si>
  <si>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</si>
  <si>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</si>
  <si>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</si>
  <si>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</si>
  <si>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</si>
  <si>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</si>
  <si>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</si>
  <si>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</si>
  <si>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</si>
  <si>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</si>
  <si>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</si>
  <si>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</si>
  <si>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25mm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</si>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</sst>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5724525" cy="63627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47.26994908673754</v>
      </c>
      <c r="B2" s="2">
        <f>Calculate!R3</f>
        <v>6.7718590896054818E-3</v>
      </c>
      <c r="C2" s="2">
        <f>Calculate!S3</f>
        <v>26.36122978363974</v>
      </c>
      <c r="D2" s="2">
        <f>Calculate!T3</f>
        <v>4.7795931484366186E-2</v>
      </c>
      <c r="E2" s="2">
        <f>Calculate!Q6</f>
        <v>601771.62525011005</v>
      </c>
      <c r="F2" s="2">
        <f>Calculate!R6</f>
        <v>813495928.07831573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10/25.4</f>
        <v>0.39370078740157483</v>
      </c>
      <c r="J3" s="7">
        <v>10</v>
      </c>
      <c r="K3" s="1">
        <f t="shared" ref="K3:K8" si="0">PI()*J3^2/4</f>
        <v>78.539816339744831</v>
      </c>
      <c r="L3" s="3"/>
      <c r="M3" s="3"/>
      <c r="N3" s="3"/>
      <c r="O3" s="3"/>
      <c r="P3" s="3"/>
      <c r="Q3" s="1">
        <f>I39</f>
        <v>47.26994908673754</v>
      </c>
      <c r="R3" s="1">
        <f>I40</f>
        <v>6.7718590896054818E-3</v>
      </c>
      <c r="S3" s="1">
        <f>I43</f>
        <v>26.36122978363974</v>
      </c>
      <c r="T3" s="1">
        <f>I42</f>
        <v>4.7795931484366186E-2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350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7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350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22.5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601771.62525011005</v>
      </c>
      <c r="R6" s="1">
        <f>D41</f>
        <v>813495928.07831573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22.5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7" t="s">
        <v>25</v>
      </c>
      <c r="I8" s="5">
        <f>25/25.4</f>
        <v>0.98425196850393704</v>
      </c>
      <c r="J8" s="7">
        <v>25</v>
      </c>
      <c r="K8" s="1">
        <f t="shared" si="0"/>
        <v>490.87385212340519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26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27</v>
      </c>
      <c r="C10" s="18"/>
      <c r="D10" s="8">
        <v>50</v>
      </c>
      <c r="E10" s="3"/>
      <c r="F10" s="3"/>
      <c r="G10" s="15" t="s">
        <v>28</v>
      </c>
      <c r="H10" s="16"/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15" t="s">
        <v>31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32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37</v>
      </c>
      <c r="C12" s="18"/>
      <c r="D12" s="8">
        <v>470</v>
      </c>
      <c r="E12" s="3"/>
      <c r="F12" s="3"/>
      <c r="G12" s="3"/>
      <c r="H12" s="3"/>
      <c r="I12" s="12"/>
      <c r="J12" s="12" t="s">
        <v>14</v>
      </c>
      <c r="K12" s="3"/>
      <c r="L12" s="8">
        <v>260</v>
      </c>
      <c r="M12" s="13">
        <f t="shared" ref="M12:M19" si="2">L12-VLOOKUP($D$22, $G$3:$K$8, 4, FALSE)</f>
        <v>235</v>
      </c>
      <c r="N12" s="3">
        <f t="shared" ref="N12:N19" si="3">M12^2</f>
        <v>55225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39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8">
        <v>260</v>
      </c>
      <c r="M13" s="13">
        <f t="shared" si="2"/>
        <v>235</v>
      </c>
      <c r="N13" s="3">
        <f t="shared" si="3"/>
        <v>55225</v>
      </c>
      <c r="O13" s="3"/>
      <c r="P13" s="3"/>
      <c r="Q13" s="3" t="s">
        <v>40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41</v>
      </c>
      <c r="C14" s="16"/>
      <c r="D14" s="3">
        <f>D10-D13*VLOOKUP(D11,G3:K8,4,FALSE)</f>
        <v>40</v>
      </c>
      <c r="E14" s="3"/>
      <c r="F14" s="3"/>
      <c r="G14" s="3"/>
      <c r="H14" s="3"/>
      <c r="K14" s="3"/>
      <c r="L14" s="8">
        <v>260</v>
      </c>
      <c r="M14" s="13">
        <f t="shared" si="2"/>
        <v>235</v>
      </c>
      <c r="N14" s="3">
        <f t="shared" si="3"/>
        <v>55225</v>
      </c>
      <c r="O14" s="3"/>
      <c r="P14" s="3"/>
      <c r="Q14" s="3" t="s">
        <v>42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43</v>
      </c>
      <c r="C15" s="16"/>
      <c r="D15" s="14">
        <f>D4-2*D7-VLOOKUP(D11, G3:K8, 4,FALSE )</f>
        <v>295</v>
      </c>
      <c r="E15" s="3"/>
      <c r="F15" s="3"/>
      <c r="G15" s="15" t="s">
        <v>44</v>
      </c>
      <c r="H15" s="16"/>
      <c r="I15" s="3" t="s">
        <v>29</v>
      </c>
      <c r="J15" s="3" t="s">
        <v>30</v>
      </c>
      <c r="K15" s="3"/>
      <c r="L15" s="8">
        <v>260</v>
      </c>
      <c r="M15" s="13">
        <f t="shared" si="2"/>
        <v>235</v>
      </c>
      <c r="N15" s="3">
        <f t="shared" si="3"/>
        <v>55225</v>
      </c>
      <c r="O15" s="3"/>
      <c r="P15" s="3"/>
      <c r="Q15" s="3" t="s">
        <v>45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46</v>
      </c>
      <c r="C16" s="16"/>
      <c r="D16" s="14">
        <f>D5-2*D6-VLOOKUP(D11, G3:K8, 4,FALSE )</f>
        <v>295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47</v>
      </c>
      <c r="C17" s="16"/>
      <c r="D17" s="3">
        <f>D13*VLOOKUP(D11,G3:K8,5,FALSE)</f>
        <v>78.539816339744831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48</v>
      </c>
      <c r="C18" s="16"/>
      <c r="D18" s="3">
        <f>D15*D16</f>
        <v>87025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49</v>
      </c>
      <c r="H20" s="16"/>
      <c r="I20" s="16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50</v>
      </c>
      <c r="C21" s="16"/>
      <c r="D21" s="16"/>
      <c r="E21" s="3"/>
      <c r="F21" s="3"/>
      <c r="G21" s="15" t="s">
        <v>51</v>
      </c>
      <c r="H21" s="16"/>
      <c r="I21" s="8">
        <v>32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52</v>
      </c>
      <c r="C22" s="18"/>
      <c r="D22" s="8" t="s">
        <v>25</v>
      </c>
      <c r="E22" s="3"/>
      <c r="F22" s="3"/>
      <c r="G22" s="15" t="s">
        <v>53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54</v>
      </c>
      <c r="C23" s="16"/>
      <c r="D23" s="8">
        <v>8</v>
      </c>
      <c r="E23" s="3"/>
      <c r="F23" s="3"/>
      <c r="G23" s="15" t="s">
        <v>55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56</v>
      </c>
      <c r="C24" s="18"/>
      <c r="D24" s="8">
        <v>430</v>
      </c>
      <c r="E24" s="3"/>
      <c r="F24" s="3"/>
      <c r="G24" s="15" t="s">
        <v>57</v>
      </c>
      <c r="H24" s="16"/>
      <c r="I24" s="3">
        <f>15000*SQRT(I21*100/9.8)*0.8*9.8/100</f>
        <v>21250.50587633151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58</v>
      </c>
      <c r="C25" s="16"/>
      <c r="D25" s="3">
        <f>D23*VLOOKUP(D22, G3:K8, 5,FALSE  )</f>
        <v>3926.9908169872415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59</v>
      </c>
      <c r="C26" s="16"/>
      <c r="D26" s="3">
        <f>D25/D18</f>
        <v>4.5124858569230007E-2</v>
      </c>
      <c r="E26" s="3"/>
      <c r="F26" s="3"/>
      <c r="G26" s="17" t="s">
        <v>60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61</v>
      </c>
      <c r="C27" s="16"/>
      <c r="D27" s="3">
        <f>D25/D4/D5</f>
        <v>3.2057067893773397E-2</v>
      </c>
      <c r="E27" s="3"/>
      <c r="F27" s="3"/>
      <c r="G27" s="15" t="s">
        <v>62</v>
      </c>
      <c r="H27" s="16"/>
      <c r="I27" s="3">
        <f>(D18-SUM(N:N)/6)*(1-D14/2/D16)*(1-D14/2/D15)</f>
        <v>43631.200325576938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63</v>
      </c>
      <c r="H28" s="16"/>
      <c r="I28" s="3">
        <f>I27/(1-D26)/D18</f>
        <v>0.52505710731871791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64</v>
      </c>
      <c r="H29" s="16"/>
      <c r="I29" s="3">
        <f>(I11*VLOOKUP(J11, G3:K8, 5, FALSE) + I12*VLOOKUP(J12, G3:K8, 5, FALSE) + I13*VLOOKUP(J13, G3:K8, 5, FALSE))/D16/D10</f>
        <v>1.0649466622338281E-2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65</v>
      </c>
      <c r="C30" s="3">
        <v>0.2</v>
      </c>
      <c r="D30" s="3"/>
      <c r="E30" s="3"/>
      <c r="F30" s="3"/>
      <c r="G30" s="15" t="s">
        <v>66</v>
      </c>
      <c r="H30" s="16"/>
      <c r="I30" s="3">
        <f>(I16*VLOOKUP(J16, G3:K8, 5, FALSE) + I17*VLOOKUP(J17, G3:K8, 5, FALSE)+ I18*VLOOKUP(J18, G3:K8, 5, FALSE))/D15/D10</f>
        <v>1.0649466622338281E-2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67</v>
      </c>
      <c r="C31" s="16"/>
      <c r="D31" s="16"/>
      <c r="E31" s="3"/>
      <c r="F31" s="3"/>
      <c r="G31" s="15" t="s">
        <v>68</v>
      </c>
      <c r="H31" s="16"/>
      <c r="I31" s="3">
        <f>I29+I30</f>
        <v>2.1298933244676563E-2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69</v>
      </c>
      <c r="C32" s="16"/>
      <c r="D32" s="3">
        <f>I24/(2*(1+C30))</f>
        <v>8854.3774484714631</v>
      </c>
      <c r="E32" s="3"/>
      <c r="F32" s="3"/>
      <c r="G32" s="15" t="s">
        <v>70</v>
      </c>
      <c r="H32" s="16"/>
      <c r="I32" s="3">
        <f>I28*I29*$D$12</f>
        <v>2.6280417254297226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71</v>
      </c>
      <c r="C33" s="16"/>
      <c r="D33" s="3">
        <f>IF(I31*D12&gt;2.42, 2.42, I31*D12)</f>
        <v>2.42</v>
      </c>
      <c r="E33" s="3">
        <f>D12*I31</f>
        <v>10.010498624997984</v>
      </c>
      <c r="F33" s="3"/>
      <c r="G33" s="15" t="s">
        <v>72</v>
      </c>
      <c r="H33" s="16"/>
      <c r="I33" s="3">
        <f>I28*I30*D12</f>
        <v>2.6280417254297226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73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74</v>
      </c>
      <c r="H34" s="16"/>
      <c r="I34" s="3">
        <f>(I32+I33)/2/I21</f>
        <v>8.2126303919678831E-2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75</v>
      </c>
      <c r="C35" s="16"/>
      <c r="D35" s="3">
        <f>0.0867*(D4*D5)*I21/13.8/(D4*D5)</f>
        <v>0.20104347826086955</v>
      </c>
      <c r="E35" s="3"/>
      <c r="F35" s="3"/>
      <c r="G35" s="15" t="s">
        <v>76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77</v>
      </c>
      <c r="C36" s="16"/>
      <c r="D36" s="3">
        <f>IF(1+D35&gt;1.5, 1.5, 1+D35)</f>
        <v>1.2010434782608694</v>
      </c>
      <c r="E36" s="3">
        <f>1+D35</f>
        <v>1.2010434782608694</v>
      </c>
      <c r="F36" s="3"/>
      <c r="G36" s="15" t="s">
        <v>78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79</v>
      </c>
      <c r="C37" s="16"/>
      <c r="D37" s="3">
        <f>IF(D34*D36*SQRT(I21)&gt;0.33*SQRT(I21), 0.33*SQRT(I21), D34*D36*SQRT(I21))</f>
        <v>1.695814324794747</v>
      </c>
      <c r="E37" s="3"/>
      <c r="F37" s="3"/>
      <c r="G37" s="15" t="s">
        <v>80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81</v>
      </c>
      <c r="C38" s="16"/>
      <c r="D38" s="3">
        <f>0.8*D4*D5*D37</f>
        <v>166189.8038298852</v>
      </c>
      <c r="E38" s="3"/>
      <c r="F38" s="3"/>
      <c r="G38" s="15" t="s">
        <v>82</v>
      </c>
      <c r="H38" s="16"/>
      <c r="I38" s="3">
        <f>1+I36*I34*(0.1+0.9/(1+I37*I34))</f>
        <v>1.4771859089605481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83</v>
      </c>
      <c r="C39" s="16"/>
      <c r="D39" s="3">
        <f>(I11*VLOOKUP(J11, G3:K8, 5, FALSE) + I12*VLOOKUP(J12, G3:K8, 5, FALSE) + I13*VLOOKUP(J13, G3:K8, 5, FALSE))*D12*D15/D10</f>
        <v>435581.82142022485</v>
      </c>
      <c r="E39" s="3"/>
      <c r="F39" s="3"/>
      <c r="G39" s="15" t="s">
        <v>0</v>
      </c>
      <c r="H39" s="16"/>
      <c r="I39" s="3">
        <f>I21*I38</f>
        <v>47.26994908673754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601771.62525011005</v>
      </c>
      <c r="E40" s="3"/>
      <c r="F40" s="3"/>
      <c r="G40" s="15" t="s">
        <v>1</v>
      </c>
      <c r="H40" s="16"/>
      <c r="I40" s="3">
        <f>I22*(1+5*(I39/I21-1))</f>
        <v>6.7718590896054818E-3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813495928.07831573</v>
      </c>
      <c r="E41" s="3"/>
      <c r="F41" s="3"/>
      <c r="G41" s="15" t="s">
        <v>84</v>
      </c>
      <c r="H41" s="16"/>
      <c r="I41" s="3">
        <f>I24/(I24-I39/I40)</f>
        <v>1.4891572739770909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4.7795931484366186E-2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26.36122978363974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2024-05-16T11:32:44Z</dcterms:modified>
</cp:coreProperties>
</file>