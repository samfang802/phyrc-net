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2yDCNUmapJPChg0xhIHf43gPAu3WxPE34yT2rHqskP4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<sst xmlns="http://schemas.openxmlformats.org/spreadsheetml/2006/main" count="109" uniqueCount="85">
  <si>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</si>
  <si>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</si>
  <si>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</si>
  <si>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</si>
  <si>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</si>
  <si>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</si>
  <si>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</si>
  <si>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</si>
  <si>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</si>
  <si>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</si>
  <si>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</si>
  <si>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</si>
  <si>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4mm</t>
  </si>
  <si>
    <t>Width(y)</t>
  </si>
  <si>
    <t>6mm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</si>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</sst>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2590800" cy="21907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34.90816066</v>
      </c>
      <c r="B2" s="2">
        <f>Calculate!R3</f>
        <v>0.002267106076</v>
      </c>
      <c r="C2" s="2">
        <f>Calculate!S3</f>
        <v>0.6991141778</v>
      </c>
      <c r="D2" s="2">
        <f>Calculate!T3</f>
        <v>0.01975416316</v>
      </c>
      <c r="E2" s="2">
        <f>Calculate!Q6</f>
        <v>15042.60489</v>
      </c>
      <c r="F2" s="2">
        <f>Calculate!R6</f>
        <v>43809040.16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9">
        <f>4/25.4</f>
        <v>0.157480315</v>
      </c>
      <c r="J3" s="6">
        <f>4</f>
        <v>4</v>
      </c>
      <c r="K3" s="1">
        <f t="shared" ref="K3:K8" si="1">PI()*J3^2/4</f>
        <v>12.56637061</v>
      </c>
      <c r="L3" s="3"/>
      <c r="M3" s="3"/>
      <c r="N3" s="3"/>
      <c r="O3" s="3"/>
      <c r="P3" s="3"/>
      <c r="Q3" s="1">
        <f>I39</f>
        <v>34.90816066</v>
      </c>
      <c r="R3" s="1">
        <f>I40</f>
        <v>0.002267106076</v>
      </c>
      <c r="S3" s="1">
        <f>I43</f>
        <v>0.6991141778</v>
      </c>
      <c r="T3" s="1">
        <f>I42</f>
        <v>0.01975416316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80.0</v>
      </c>
      <c r="E4" s="3"/>
      <c r="F4" s="3"/>
      <c r="G4" s="8" t="s">
        <v>14</v>
      </c>
      <c r="H4" s="9" t="s">
        <v>14</v>
      </c>
      <c r="I4" s="6">
        <f>6/25.4</f>
        <v>0.2362204724</v>
      </c>
      <c r="J4" s="9">
        <v>6.0</v>
      </c>
      <c r="K4" s="1">
        <f t="shared" si="1"/>
        <v>28.27433388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80.0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15042.60489</v>
      </c>
      <c r="R6" s="1">
        <f>D41</f>
        <v>43809040.16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80.0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341.0</v>
      </c>
      <c r="E12" s="3"/>
      <c r="F12" s="3"/>
      <c r="G12" s="3"/>
      <c r="H12" s="3"/>
      <c r="I12" s="15"/>
      <c r="J12" s="10" t="s">
        <v>14</v>
      </c>
      <c r="K12" s="3"/>
      <c r="L12" s="10">
        <v>46.0</v>
      </c>
      <c r="M12" s="16">
        <f t="shared" ref="M12:M15" si="3">L12-VLOOKUP($D$22, $G$3:$K$8, 4, FALSE)</f>
        <v>40</v>
      </c>
      <c r="N12" s="3">
        <f t="shared" ref="N12:N15" si="4">M12^2</f>
        <v>1600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0">
        <v>46.0</v>
      </c>
      <c r="M13" s="16">
        <f t="shared" si="3"/>
        <v>40</v>
      </c>
      <c r="N13" s="3">
        <f t="shared" si="4"/>
        <v>1600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76</v>
      </c>
      <c r="E14" s="3"/>
      <c r="F14" s="3"/>
      <c r="G14" s="3"/>
      <c r="H14" s="3"/>
      <c r="K14" s="3"/>
      <c r="L14" s="10">
        <v>46.0</v>
      </c>
      <c r="M14" s="16">
        <f t="shared" si="3"/>
        <v>40</v>
      </c>
      <c r="N14" s="3">
        <f t="shared" si="4"/>
        <v>1600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56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46.0</v>
      </c>
      <c r="M15" s="16">
        <f t="shared" si="3"/>
        <v>40</v>
      </c>
      <c r="N15" s="3">
        <f t="shared" si="4"/>
        <v>1600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56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12.56637061</v>
      </c>
      <c r="E17" s="3"/>
      <c r="F17" s="3"/>
      <c r="G17" s="3"/>
      <c r="H17" s="3"/>
      <c r="I17" s="15"/>
      <c r="J17" s="10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3136</v>
      </c>
      <c r="E18" s="3"/>
      <c r="F18" s="3"/>
      <c r="G18" s="3"/>
      <c r="H18" s="3"/>
      <c r="I18" s="15"/>
      <c r="J18" s="15" t="s">
        <v>16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34.0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4.0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336.0</v>
      </c>
      <c r="E24" s="3"/>
      <c r="F24" s="3"/>
      <c r="G24" s="3" t="s">
        <v>57</v>
      </c>
      <c r="I24" s="3">
        <f>15000*SQRT(I21*100/9.8)*0.8*9.8/100</f>
        <v>21904.52008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113.0973355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0.03606420138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0.01767145868</v>
      </c>
      <c r="E27" s="3"/>
      <c r="F27" s="3"/>
      <c r="G27" s="3" t="s">
        <v>62</v>
      </c>
      <c r="I27" s="3">
        <f>(D18-SUM(N:N)/6)*(1-D14/2/D16)*(1-D14/2/D15)</f>
        <v>213.7959184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0.07072537296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0.005609986881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0.005609986881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0.01121997376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9126.883367</v>
      </c>
      <c r="E32" s="3"/>
      <c r="F32" s="3"/>
      <c r="G32" s="3" t="s">
        <v>70</v>
      </c>
      <c r="I32" s="3">
        <f>I28*I29*$D$12</f>
        <v>0.1352980293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3.826011053</v>
      </c>
      <c r="F33" s="3"/>
      <c r="G33" s="3" t="s">
        <v>72</v>
      </c>
      <c r="I33" s="3">
        <f>I28*I30*D12</f>
        <v>0.1352980293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0.003979353804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0.2136086957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1.213608696</v>
      </c>
      <c r="E36" s="3">
        <f>1+D35</f>
        <v>1.213608696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1.766292883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9043.419563</v>
      </c>
      <c r="E38" s="3"/>
      <c r="F38" s="3"/>
      <c r="G38" s="3" t="s">
        <v>82</v>
      </c>
      <c r="I38" s="3">
        <f>1+I36*I34*(0.1+0.9/(1+I37*I34))</f>
        <v>1.026710608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5999.185331</v>
      </c>
      <c r="E39" s="3"/>
      <c r="F39" s="3"/>
      <c r="G39" s="3" t="s">
        <v>0</v>
      </c>
      <c r="I39" s="3">
        <f>I21*I38</f>
        <v>34.90816066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15042.60489</v>
      </c>
      <c r="E40" s="3"/>
      <c r="F40" s="3"/>
      <c r="G40" s="3" t="s">
        <v>1</v>
      </c>
      <c r="I40" s="3">
        <f>I22*(1+5*(I39/I21-1))</f>
        <v>0.002267106076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43809040.16</v>
      </c>
      <c r="E41" s="3"/>
      <c r="F41" s="3"/>
      <c r="G41" s="3" t="s">
        <v>84</v>
      </c>
      <c r="I41" s="3">
        <f>I24/(I24-I39/I40)</f>
        <v>3.366380636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0.01975416316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0.6991141778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