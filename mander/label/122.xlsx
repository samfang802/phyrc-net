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ZeGd4svAkw0iLV1uIA13LFt8Cy67t1vgEWuTVdNXRl8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<sst xmlns="http://schemas.openxmlformats.org/spreadsheetml/2006/main" count="109" uniqueCount="85">
  <si>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</si>
  <si>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</si>
  <si>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</si>
  <si>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</si>
  <si>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</si>
  <si>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</si>
  <si>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</si>
  <si>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</si>
  <si>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</si>
  <si>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</si>
  <si>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</si>
  <si>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</si>
  <si>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</si>
  <si>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</si>
  <si>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#4</t>
  </si>
  <si>
    <t>D13</t>
  </si>
  <si>
    <t>Depth(z)</t>
  </si>
  <si>
    <t>#5</t>
  </si>
  <si>
    <t>D16</t>
  </si>
  <si>
    <t>Clear cover (y)</t>
  </si>
  <si>
    <t>20mm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</si>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</sst>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</xdr:row>
      <xdr:rowOff>0</xdr:rowOff>
    </xdr:from>
    <xdr:ext cx="10972800" cy="36861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88.20088902</v>
      </c>
      <c r="B2" s="2">
        <f>Calculate!R3</f>
        <v>0.003025111128</v>
      </c>
      <c r="C2" s="2">
        <f>Calculate!S3</f>
        <v>0.01761107658</v>
      </c>
      <c r="D2" s="2">
        <f>Calculate!T3</f>
        <v>0.01508418331</v>
      </c>
      <c r="E2" s="2">
        <f>Calculate!Q6</f>
        <v>252481.1974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88.20088902</v>
      </c>
      <c r="R3" s="1">
        <f>I40</f>
        <v>0.003025111128</v>
      </c>
      <c r="S3" s="1">
        <f>I43</f>
        <v>0.01761107658</v>
      </c>
      <c r="T3" s="1">
        <f>I42</f>
        <v>0.01508418331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5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30.0</v>
      </c>
      <c r="E6" s="3"/>
      <c r="F6" s="3"/>
      <c r="G6" s="8" t="s">
        <v>20</v>
      </c>
      <c r="H6" s="9" t="s">
        <v>20</v>
      </c>
      <c r="I6" s="6">
        <f>20/25.4</f>
        <v>0.7874015748</v>
      </c>
      <c r="J6" s="6">
        <f>20</f>
        <v>20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252481.1974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ref="J7:J8" si="3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3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4">154/3</f>
        <v>51.33333333</v>
      </c>
      <c r="M12" s="16">
        <f t="shared" ref="M12:M23" si="5">L12-VLOOKUP($D$22, $G$3:$K$8, 4, FALSE)</f>
        <v>31.33333333</v>
      </c>
      <c r="N12" s="3">
        <f t="shared" ref="N12:N23" si="6">M12^2</f>
        <v>981.7777778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4"/>
        <v>51.33333333</v>
      </c>
      <c r="M13" s="16">
        <f t="shared" si="5"/>
        <v>31.33333333</v>
      </c>
      <c r="N13" s="3">
        <f t="shared" si="6"/>
        <v>981.7777778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142</v>
      </c>
      <c r="E14" s="3"/>
      <c r="F14" s="3"/>
      <c r="G14" s="3"/>
      <c r="H14" s="3"/>
      <c r="K14" s="3"/>
      <c r="L14" s="15">
        <f t="shared" si="4"/>
        <v>51.33333333</v>
      </c>
      <c r="M14" s="16">
        <f t="shared" si="5"/>
        <v>31.33333333</v>
      </c>
      <c r="N14" s="3">
        <f t="shared" si="6"/>
        <v>981.7777778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4"/>
        <v>51.33333333</v>
      </c>
      <c r="M15" s="16">
        <f t="shared" si="5"/>
        <v>31.33333333</v>
      </c>
      <c r="N15" s="3">
        <f t="shared" si="6"/>
        <v>981.7777778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4"/>
        <v>51.33333333</v>
      </c>
      <c r="M16" s="16">
        <f t="shared" si="5"/>
        <v>31.33333333</v>
      </c>
      <c r="N16" s="3">
        <f t="shared" si="6"/>
        <v>981.7777778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5" t="s">
        <v>14</v>
      </c>
      <c r="K17" s="3"/>
      <c r="L17" s="15">
        <f t="shared" si="4"/>
        <v>51.33333333</v>
      </c>
      <c r="M17" s="16">
        <f t="shared" si="5"/>
        <v>31.33333333</v>
      </c>
      <c r="N17" s="3">
        <f t="shared" si="6"/>
        <v>981.7777778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17</v>
      </c>
      <c r="K18" s="3"/>
      <c r="L18" s="15">
        <f t="shared" si="4"/>
        <v>51.33333333</v>
      </c>
      <c r="M18" s="16">
        <f t="shared" si="5"/>
        <v>31.33333333</v>
      </c>
      <c r="N18" s="3">
        <f t="shared" si="6"/>
        <v>981.7777778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51.33333333</v>
      </c>
      <c r="M19" s="16">
        <f t="shared" si="5"/>
        <v>31.33333333</v>
      </c>
      <c r="N19" s="3">
        <f t="shared" si="6"/>
        <v>981.7777778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4"/>
        <v>51.33333333</v>
      </c>
      <c r="M20" s="16">
        <f t="shared" si="5"/>
        <v>31.33333333</v>
      </c>
      <c r="N20" s="3">
        <f t="shared" si="6"/>
        <v>981.7777778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4"/>
        <v>51.33333333</v>
      </c>
      <c r="M21" s="16">
        <f t="shared" si="5"/>
        <v>31.33333333</v>
      </c>
      <c r="N21" s="3">
        <f t="shared" si="6"/>
        <v>981.7777778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20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4"/>
        <v>51.33333333</v>
      </c>
      <c r="M22" s="16">
        <f t="shared" si="5"/>
        <v>31.33333333</v>
      </c>
      <c r="N22" s="3">
        <f t="shared" si="6"/>
        <v>981.7777778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4"/>
        <v>51.33333333</v>
      </c>
      <c r="M23" s="16">
        <f t="shared" si="5"/>
        <v>31.33333333</v>
      </c>
      <c r="N23" s="3">
        <f t="shared" si="6"/>
        <v>981.7777778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0.1138120754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0.06031857895</v>
      </c>
      <c r="E27" s="3"/>
      <c r="F27" s="3"/>
      <c r="G27" s="3" t="s">
        <v>62</v>
      </c>
      <c r="I27" s="3">
        <f>(D18-SUM(N:N)/6)*(1-D14/2/D16)*(1-D14/2/D15)</f>
        <v>11590.6242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0.3948555267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0.007364905855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0.007364905855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0.01472981171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1.250471726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6.333819035</v>
      </c>
      <c r="F33" s="3"/>
      <c r="G33" s="3" t="s">
        <v>72</v>
      </c>
      <c r="I33" s="3">
        <f>I28*I30*D12</f>
        <v>1.250471726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0.01563089657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1.102511113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104900.7109</v>
      </c>
      <c r="E39" s="3"/>
      <c r="F39" s="3"/>
      <c r="G39" s="3" t="s">
        <v>0</v>
      </c>
      <c r="I39" s="3">
        <f>I21*I38</f>
        <v>88.20088902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252481.1974</v>
      </c>
      <c r="E40" s="3"/>
      <c r="F40" s="3"/>
      <c r="G40" s="3" t="s">
        <v>1</v>
      </c>
      <c r="I40" s="3">
        <f>I22*(1+5*(I39/I21-1))</f>
        <v>0.003025111128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7.561177329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0.01508418331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0.01761107658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