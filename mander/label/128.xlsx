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yf6uHWgGVxzs+pv03IdG0DoCWXPbwTO9Ybqr1+K3WOs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<sst xmlns="http://schemas.openxmlformats.org/spreadsheetml/2006/main" count="109" uniqueCount="85">
  <si>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</si>
  <si>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</si>
  <si>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</si>
  <si>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</si>
  <si>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</si>
  <si>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</si>
  <si>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</si>
  <si>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</si>
  <si>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</si>
  <si>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</si>
  <si>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</si>
  <si>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</si>
  <si>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8mm</t>
  </si>
  <si>
    <t>Width(y)</t>
  </si>
  <si>
    <t>#4</t>
  </si>
  <si>
    <t>D13</t>
  </si>
  <si>
    <t>Depth(z)</t>
  </si>
  <si>
    <t>#5</t>
  </si>
  <si>
    <t>D16</t>
  </si>
  <si>
    <t>Clear cover (y)</t>
  </si>
  <si>
    <t>20mm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</si>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</sst>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23</xdr:row>
      <xdr:rowOff>0</xdr:rowOff>
    </xdr:from>
    <xdr:ext cx="10972800" cy="368617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97.78577498</v>
      </c>
      <c r="B2" s="2">
        <f>Calculate!R3</f>
        <v>0.004223221873</v>
      </c>
      <c r="C2" s="2">
        <f>Calculate!S3</f>
        <v>9.227588827</v>
      </c>
      <c r="D2" s="2">
        <f>Calculate!T3</f>
        <v>0.02062627497</v>
      </c>
      <c r="E2" s="2">
        <f>Calculate!Q6</f>
        <v>304931.5528</v>
      </c>
      <c r="F2" s="2">
        <f>Calculate!R6</f>
        <v>656250000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8/25.4</f>
        <v>0.3149606299</v>
      </c>
      <c r="J3" s="6">
        <f>8</f>
        <v>8</v>
      </c>
      <c r="K3" s="1">
        <f t="shared" ref="K3:K8" si="1">PI()*J3^2/4</f>
        <v>50.26548246</v>
      </c>
      <c r="L3" s="3"/>
      <c r="M3" s="3"/>
      <c r="N3" s="3"/>
      <c r="O3" s="3"/>
      <c r="P3" s="3"/>
      <c r="Q3" s="1">
        <f>I39</f>
        <v>97.78577498</v>
      </c>
      <c r="R3" s="1">
        <f>I40</f>
        <v>0.004223221873</v>
      </c>
      <c r="S3" s="1">
        <f>I43</f>
        <v>9.227588827</v>
      </c>
      <c r="T3" s="1">
        <f>I42</f>
        <v>0.02062627497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250.0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ref="J4:J5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250.0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30.0</v>
      </c>
      <c r="E6" s="3"/>
      <c r="F6" s="3"/>
      <c r="G6" s="8" t="s">
        <v>20</v>
      </c>
      <c r="H6" s="9" t="s">
        <v>20</v>
      </c>
      <c r="I6" s="6">
        <f>20/25.4</f>
        <v>0.7874015748</v>
      </c>
      <c r="J6" s="9">
        <v>20.0</v>
      </c>
      <c r="K6" s="1">
        <f t="shared" si="1"/>
        <v>314.1592654</v>
      </c>
      <c r="L6" s="3"/>
      <c r="M6" s="3"/>
      <c r="N6" s="3"/>
      <c r="O6" s="3"/>
      <c r="P6" s="3"/>
      <c r="Q6" s="1">
        <f>D40</f>
        <v>304931.5528</v>
      </c>
      <c r="R6" s="1">
        <f>D41</f>
        <v>656250000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10">
        <v>30.0</v>
      </c>
      <c r="E7" s="3"/>
      <c r="F7" s="3"/>
      <c r="G7" s="11" t="s">
        <v>22</v>
      </c>
      <c r="H7" s="6" t="s">
        <v>23</v>
      </c>
      <c r="I7" s="6">
        <f>7/8</f>
        <v>0.875</v>
      </c>
      <c r="J7" s="6">
        <f t="shared" ref="J7:J8" si="3">I7*25.4</f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3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10">
        <v>100.0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10">
        <v>430.0</v>
      </c>
      <c r="E12" s="3"/>
      <c r="F12" s="3"/>
      <c r="G12" s="3"/>
      <c r="H12" s="3"/>
      <c r="I12" s="15"/>
      <c r="J12" s="15" t="s">
        <v>14</v>
      </c>
      <c r="K12" s="3"/>
      <c r="L12" s="10">
        <f t="shared" ref="L12:L23" si="4">154/3</f>
        <v>51.33333333</v>
      </c>
      <c r="M12" s="16">
        <f t="shared" ref="M12:M23" si="5">L12-VLOOKUP($D$22, $G$3:$K$8, 4, FALSE)</f>
        <v>31.33333333</v>
      </c>
      <c r="N12" s="3">
        <f t="shared" ref="N12:N23" si="6">M12^2</f>
        <v>981.7777778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10">
        <v>1.0</v>
      </c>
      <c r="E13" s="3"/>
      <c r="F13" s="3"/>
      <c r="G13" s="3"/>
      <c r="H13" s="3"/>
      <c r="I13" s="15"/>
      <c r="J13" s="15" t="s">
        <v>17</v>
      </c>
      <c r="K13" s="3"/>
      <c r="L13" s="10">
        <f t="shared" si="4"/>
        <v>51.33333333</v>
      </c>
      <c r="M13" s="16">
        <f t="shared" si="5"/>
        <v>31.33333333</v>
      </c>
      <c r="N13" s="3">
        <f t="shared" si="6"/>
        <v>981.7777778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92</v>
      </c>
      <c r="E14" s="3"/>
      <c r="F14" s="3"/>
      <c r="G14" s="3"/>
      <c r="H14" s="3"/>
      <c r="K14" s="3"/>
      <c r="L14" s="10">
        <f t="shared" si="4"/>
        <v>51.33333333</v>
      </c>
      <c r="M14" s="16">
        <f t="shared" si="5"/>
        <v>31.33333333</v>
      </c>
      <c r="N14" s="3">
        <f t="shared" si="6"/>
        <v>981.7777778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182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0">
        <f t="shared" si="4"/>
        <v>51.33333333</v>
      </c>
      <c r="M15" s="16">
        <f t="shared" si="5"/>
        <v>31.33333333</v>
      </c>
      <c r="N15" s="3">
        <f t="shared" si="6"/>
        <v>981.7777778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182</v>
      </c>
      <c r="E16" s="3"/>
      <c r="F16" s="3"/>
      <c r="G16" s="3"/>
      <c r="H16" s="3"/>
      <c r="I16" s="10">
        <v>4.0</v>
      </c>
      <c r="J16" s="10" t="s">
        <v>12</v>
      </c>
      <c r="K16" s="3"/>
      <c r="L16" s="10">
        <f t="shared" si="4"/>
        <v>51.33333333</v>
      </c>
      <c r="M16" s="16">
        <f t="shared" si="5"/>
        <v>31.33333333</v>
      </c>
      <c r="N16" s="3">
        <f t="shared" si="6"/>
        <v>981.7777778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50.26548246</v>
      </c>
      <c r="E17" s="3"/>
      <c r="F17" s="3"/>
      <c r="G17" s="3"/>
      <c r="H17" s="3"/>
      <c r="I17" s="15"/>
      <c r="J17" s="15" t="s">
        <v>14</v>
      </c>
      <c r="K17" s="3"/>
      <c r="L17" s="10">
        <f t="shared" si="4"/>
        <v>51.33333333</v>
      </c>
      <c r="M17" s="16">
        <f t="shared" si="5"/>
        <v>31.33333333</v>
      </c>
      <c r="N17" s="3">
        <f t="shared" si="6"/>
        <v>981.7777778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33124</v>
      </c>
      <c r="E18" s="3"/>
      <c r="F18" s="3"/>
      <c r="G18" s="3"/>
      <c r="H18" s="3"/>
      <c r="I18" s="15"/>
      <c r="J18" s="15" t="s">
        <v>17</v>
      </c>
      <c r="K18" s="3"/>
      <c r="L18" s="10">
        <f t="shared" si="4"/>
        <v>51.33333333</v>
      </c>
      <c r="M18" s="16">
        <f t="shared" si="5"/>
        <v>31.33333333</v>
      </c>
      <c r="N18" s="3">
        <f t="shared" si="6"/>
        <v>981.7777778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0">
        <f t="shared" si="4"/>
        <v>51.33333333</v>
      </c>
      <c r="M19" s="16">
        <f t="shared" si="5"/>
        <v>31.33333333</v>
      </c>
      <c r="N19" s="3">
        <f t="shared" si="6"/>
        <v>981.7777778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L20" s="10">
        <f t="shared" si="4"/>
        <v>51.33333333</v>
      </c>
      <c r="M20" s="16">
        <f t="shared" si="5"/>
        <v>31.33333333</v>
      </c>
      <c r="N20" s="3">
        <f t="shared" si="6"/>
        <v>981.7777778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10">
        <v>80.0</v>
      </c>
      <c r="J21" s="3"/>
      <c r="K21" s="3"/>
      <c r="L21" s="10">
        <f t="shared" si="4"/>
        <v>51.33333333</v>
      </c>
      <c r="M21" s="16">
        <f t="shared" si="5"/>
        <v>31.33333333</v>
      </c>
      <c r="N21" s="3">
        <f t="shared" si="6"/>
        <v>981.7777778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10" t="s">
        <v>20</v>
      </c>
      <c r="E22" s="3"/>
      <c r="F22" s="3"/>
      <c r="G22" s="3" t="s">
        <v>53</v>
      </c>
      <c r="I22" s="3">
        <v>0.002</v>
      </c>
      <c r="J22" s="3"/>
      <c r="K22" s="3"/>
      <c r="L22" s="10">
        <f t="shared" si="4"/>
        <v>51.33333333</v>
      </c>
      <c r="M22" s="16">
        <f t="shared" si="5"/>
        <v>31.33333333</v>
      </c>
      <c r="N22" s="3">
        <f t="shared" si="6"/>
        <v>981.7777778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10">
        <v>12.0</v>
      </c>
      <c r="E23" s="3"/>
      <c r="F23" s="3"/>
      <c r="G23" s="3" t="s">
        <v>55</v>
      </c>
      <c r="I23" s="3">
        <v>0.005</v>
      </c>
      <c r="J23" s="3"/>
      <c r="K23" s="3"/>
      <c r="L23" s="10">
        <f t="shared" si="4"/>
        <v>51.33333333</v>
      </c>
      <c r="M23" s="16">
        <f t="shared" si="5"/>
        <v>31.33333333</v>
      </c>
      <c r="N23" s="3">
        <f t="shared" si="6"/>
        <v>981.7777778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10">
        <v>430.0</v>
      </c>
      <c r="E24" s="3"/>
      <c r="F24" s="3"/>
      <c r="G24" s="3" t="s">
        <v>57</v>
      </c>
      <c r="I24" s="3">
        <f>15000*SQRT(I21*100/9.8)*0.8*9.8/100</f>
        <v>33600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3769.911184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0.1138120754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0.06031857895</v>
      </c>
      <c r="E27" s="3"/>
      <c r="F27" s="3"/>
      <c r="G27" s="3" t="s">
        <v>62</v>
      </c>
      <c r="I27" s="3">
        <f>(D18-SUM(N:N)/6)*(1-D14/2/D16)*(1-D14/2/D15)</f>
        <v>17399.57676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0.5927479768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0.01104735878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0.01104735878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0.02209471756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14000</v>
      </c>
      <c r="E32" s="3"/>
      <c r="F32" s="3"/>
      <c r="G32" s="3" t="s">
        <v>70</v>
      </c>
      <c r="I32" s="3">
        <f>I28*I29*$D$12</f>
        <v>2.815768814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9.500728552</v>
      </c>
      <c r="F33" s="3"/>
      <c r="G33" s="3" t="s">
        <v>72</v>
      </c>
      <c r="I33" s="3">
        <f>I28*I30*D12</f>
        <v>2.815768814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0.03519711017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0.5026086957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1.5</v>
      </c>
      <c r="E36" s="3">
        <f>1+D35</f>
        <v>1.502608696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2.95160973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147580.4865</v>
      </c>
      <c r="E38" s="3"/>
      <c r="F38" s="3"/>
      <c r="G38" s="3" t="s">
        <v>82</v>
      </c>
      <c r="I38" s="3">
        <f>1+I36*I34*(0.1+0.9/(1+I37*I34))</f>
        <v>1.222322187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157351.0663</v>
      </c>
      <c r="E39" s="3"/>
      <c r="F39" s="3"/>
      <c r="G39" s="3" t="s">
        <v>0</v>
      </c>
      <c r="I39" s="3">
        <f>I21*I38</f>
        <v>97.78577498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304931.5528</v>
      </c>
      <c r="E40" s="3"/>
      <c r="F40" s="3"/>
      <c r="G40" s="3" t="s">
        <v>1</v>
      </c>
      <c r="I40" s="3">
        <f>I22*(1+5*(I39/I21-1))</f>
        <v>0.004223221873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656250000</v>
      </c>
      <c r="E41" s="3"/>
      <c r="F41" s="3"/>
      <c r="G41" s="3" t="s">
        <v>84</v>
      </c>
      <c r="I41" s="3">
        <f>I24/(I24-I39/I40)</f>
        <v>3.216636694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0.02062627497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9.227588827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