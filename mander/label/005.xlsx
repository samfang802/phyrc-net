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CdxzjRlI10FShuIPAiXBis/hMLDTuNe14WXMAmBdIlU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<sst xmlns="http://schemas.openxmlformats.org/spreadsheetml/2006/main" count="109" uniqueCount="87">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</sst>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18</xdr:row>
      <xdr:rowOff>47625</xdr:rowOff>
    </xdr:from>
    <xdr:ext cx="3209925" cy="21526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39.47141826</v>
      </c>
      <c r="B2" s="2">
        <f>Calculate!R3</f>
        <v>0.00872517723</v>
      </c>
      <c r="C2" s="2">
        <f>Calculate!S3</f>
        <v>27.95207247</v>
      </c>
      <c r="D2" s="2">
        <f>Calculate!T3</f>
        <v>0.05407422673</v>
      </c>
      <c r="E2" s="2">
        <f>Calculate!Q6</f>
        <v>674761.7076</v>
      </c>
      <c r="F2" s="2">
        <f>Calculate!R6</f>
        <v>912473561.3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39.47141826</v>
      </c>
      <c r="R3" s="1">
        <f>I40</f>
        <v>0.00872517723</v>
      </c>
      <c r="S3" s="1">
        <f>I43</f>
        <v>27.95207247</v>
      </c>
      <c r="T3" s="1">
        <f>I42</f>
        <v>0.05407422673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8" t="s">
        <v>15</v>
      </c>
      <c r="H4" s="6" t="s">
        <v>16</v>
      </c>
      <c r="I4" s="6">
        <f>4/8</f>
        <v>0.5</v>
      </c>
      <c r="J4" s="10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10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22.5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674761.7076</v>
      </c>
      <c r="R6" s="1">
        <f>D41</f>
        <v>912473561.3</v>
      </c>
      <c r="S6" s="1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22.5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2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3"/>
      <c r="D10" s="9">
        <v>100.0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3"/>
      <c r="D11" s="9" t="s">
        <v>15</v>
      </c>
      <c r="E11" s="3"/>
      <c r="F11" s="3"/>
      <c r="G11" s="3"/>
      <c r="H11" s="3"/>
      <c r="I11" s="14"/>
      <c r="J11" s="14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3"/>
      <c r="D12" s="9">
        <v>320.0</v>
      </c>
      <c r="E12" s="3"/>
      <c r="F12" s="3"/>
      <c r="G12" s="3"/>
      <c r="H12" s="3"/>
      <c r="I12" s="9">
        <v>4.0</v>
      </c>
      <c r="J12" s="14" t="s">
        <v>15</v>
      </c>
      <c r="K12" s="3"/>
      <c r="L12" s="9">
        <v>120.0</v>
      </c>
      <c r="M12" s="15">
        <f t="shared" ref="M12:M23" si="3">L12-VLOOKUP($D$22, $G$3:$K$8, 4, FALSE)</f>
        <v>104</v>
      </c>
      <c r="N12" s="3">
        <f t="shared" ref="N12:N23" si="4">M12^2</f>
        <v>10816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3"/>
      <c r="D13" s="9">
        <v>2.0</v>
      </c>
      <c r="E13" s="3"/>
      <c r="F13" s="3"/>
      <c r="G13" s="3"/>
      <c r="H13" s="3"/>
      <c r="I13" s="14"/>
      <c r="J13" s="14" t="s">
        <v>18</v>
      </c>
      <c r="K13" s="3"/>
      <c r="L13" s="9">
        <v>75.0</v>
      </c>
      <c r="M13" s="15">
        <f t="shared" si="3"/>
        <v>59</v>
      </c>
      <c r="N13" s="3">
        <f t="shared" si="4"/>
        <v>3481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76</v>
      </c>
      <c r="E14" s="3"/>
      <c r="F14" s="3"/>
      <c r="G14" s="3"/>
      <c r="H14" s="3"/>
      <c r="K14" s="3"/>
      <c r="L14" s="9">
        <v>120.0</v>
      </c>
      <c r="M14" s="15">
        <f t="shared" si="3"/>
        <v>104</v>
      </c>
      <c r="N14" s="3">
        <f t="shared" si="4"/>
        <v>10816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6">
        <f>D4-2*D7-VLOOKUP(D11, G3:K8, 4,FALSE )</f>
        <v>343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120.0</v>
      </c>
      <c r="M15" s="15">
        <f t="shared" si="3"/>
        <v>104</v>
      </c>
      <c r="N15" s="3">
        <f t="shared" si="4"/>
        <v>10816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6">
        <f>D5-2*D6-VLOOKUP(D11, G3:K8, 4,FALSE )</f>
        <v>343</v>
      </c>
      <c r="E16" s="3"/>
      <c r="F16" s="3"/>
      <c r="G16" s="3"/>
      <c r="H16" s="3"/>
      <c r="I16" s="14"/>
      <c r="J16" s="14" t="s">
        <v>12</v>
      </c>
      <c r="K16" s="3"/>
      <c r="L16" s="9">
        <v>75.0</v>
      </c>
      <c r="M16" s="15">
        <f t="shared" si="3"/>
        <v>59</v>
      </c>
      <c r="N16" s="3">
        <f t="shared" si="4"/>
        <v>3481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14" t="s">
        <v>15</v>
      </c>
      <c r="K17" s="3"/>
      <c r="L17" s="9">
        <v>120.0</v>
      </c>
      <c r="M17" s="15">
        <f t="shared" si="3"/>
        <v>104</v>
      </c>
      <c r="N17" s="3">
        <f t="shared" si="4"/>
        <v>10816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117649</v>
      </c>
      <c r="E18" s="3"/>
      <c r="F18" s="3"/>
      <c r="G18" s="3"/>
      <c r="H18" s="3"/>
      <c r="I18" s="14"/>
      <c r="J18" s="14" t="s">
        <v>18</v>
      </c>
      <c r="K18" s="3"/>
      <c r="L18" s="9">
        <v>120.0</v>
      </c>
      <c r="M18" s="15">
        <f t="shared" si="3"/>
        <v>104</v>
      </c>
      <c r="N18" s="3">
        <f t="shared" si="4"/>
        <v>10816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75.0</v>
      </c>
      <c r="M19" s="15">
        <f t="shared" si="3"/>
        <v>59</v>
      </c>
      <c r="N19" s="3">
        <f t="shared" si="4"/>
        <v>3481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9">
        <v>120.0</v>
      </c>
      <c r="M20" s="15">
        <f t="shared" si="3"/>
        <v>104</v>
      </c>
      <c r="N20" s="3">
        <f t="shared" si="4"/>
        <v>10816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23.6</v>
      </c>
      <c r="J21" s="3"/>
      <c r="K21" s="3"/>
      <c r="L21" s="9">
        <v>120.0</v>
      </c>
      <c r="M21" s="15">
        <f t="shared" si="3"/>
        <v>104</v>
      </c>
      <c r="N21" s="3">
        <f t="shared" si="4"/>
        <v>10816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3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L22" s="9">
        <v>75.0</v>
      </c>
      <c r="M22" s="15">
        <f t="shared" si="3"/>
        <v>59</v>
      </c>
      <c r="N22" s="3">
        <f t="shared" si="4"/>
        <v>3481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9">
        <v>120.0</v>
      </c>
      <c r="M23" s="15">
        <f t="shared" si="3"/>
        <v>104</v>
      </c>
      <c r="N23" s="3">
        <f t="shared" si="4"/>
        <v>10816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3"/>
      <c r="D24" s="9">
        <v>427.0</v>
      </c>
      <c r="E24" s="3"/>
      <c r="F24" s="3"/>
      <c r="G24" s="3" t="s">
        <v>59</v>
      </c>
      <c r="I24" s="3">
        <f>15000*SQRT(I21*100/9.8)*0.8*9.8/100</f>
        <v>18249.47123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0.02050797846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79787.10975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0.6923785268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0.01318919365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0.01318919365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0.0263783873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7603.946344</v>
      </c>
      <c r="E32" s="3"/>
      <c r="F32" s="3"/>
      <c r="G32" s="3" t="s">
        <v>72</v>
      </c>
      <c r="I32" s="3">
        <f>I28*I29*$D$12</f>
        <v>2.92221263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8.441083935</v>
      </c>
      <c r="F33" s="3"/>
      <c r="G33" s="3" t="s">
        <v>74</v>
      </c>
      <c r="I33" s="3">
        <f>I28*I30*D12</f>
        <v>2.92221263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0.1238225691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0.1482695652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1.148269565</v>
      </c>
      <c r="E36" s="3">
        <f>1+D35</f>
        <v>1.148269565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1.392337232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178219.1657</v>
      </c>
      <c r="E38" s="3"/>
      <c r="F38" s="3"/>
      <c r="G38" s="3" t="s">
        <v>84</v>
      </c>
      <c r="I38" s="3">
        <f>1+I36*I34*(0.1+0.9/(1+I37*I34))</f>
        <v>1.672517723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496542.5419</v>
      </c>
      <c r="E39" s="3"/>
      <c r="F39" s="3"/>
      <c r="G39" s="3" t="s">
        <v>0</v>
      </c>
      <c r="I39" s="3">
        <f>I21*I38</f>
        <v>39.47141826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674761.7076</v>
      </c>
      <c r="E40" s="3"/>
      <c r="F40" s="3"/>
      <c r="G40" s="3" t="s">
        <v>1</v>
      </c>
      <c r="I40" s="3">
        <f>I22*(1+5*(I39/I21-1))</f>
        <v>0.00872517723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912473561.3</v>
      </c>
      <c r="E41" s="3"/>
      <c r="F41" s="3"/>
      <c r="G41" s="3" t="s">
        <v>86</v>
      </c>
      <c r="I41" s="3">
        <f>I24/(I24-I39/I40)</f>
        <v>1.32959192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0.05407422673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27.95207247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