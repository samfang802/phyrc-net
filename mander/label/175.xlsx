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im9S+TF+NT437JJal6hkgluFfqzvF5Q6iBcd6f3LwIs="/>
    </ext>
  </extLst>
</workbook>
</file>

<file path=xl/sharedStrings.xml><?xml version="1.0" encoding="utf-8"?>
<sst xmlns="http://schemas.openxmlformats.org/spreadsheetml/2006/main" count="110" uniqueCount="88">
  <si>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</si>
  <si>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</si>
  <si>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</si>
  <si>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</si>
  <si>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</si>
  <si>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</si>
  <si>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</si>
  <si>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</si>
  <si>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</si>
  <si>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</si>
  <si>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</si>
  <si>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</si>
  <si>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</si>
  <si>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</si>
  <si>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</si>
  <si>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</si>
  <si>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</si>
  <si>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</si>
  <si>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</si>
  <si>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</si>
  <si>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</si>
  <si>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</si>
  <si>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</si>
  <si>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</si>
  <si>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</si>
  <si>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</si>
  <si>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</si>
  <si>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</si>
  <si>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</si>
  <si>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</si>
  <si>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</si>
  <si>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</si>
  <si>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</si>
  <si>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</si>
  <si>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</si>
  <si>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</si>
  <si>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</si>
  <si>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</si>
  <si>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</si>
  <si>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</si>
  <si>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</si>
  <si>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</si>
  <si>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</si>
  <si>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</si>
  <si>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</si>
  <si>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</si>
  <si>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</si>
  <si>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</si>
  <si>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</si>
  <si>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</si>
  <si>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</si>
  <si>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斷面:論文P393-414tables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</si>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</sst>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5476875" cy="24003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85.05722345</v>
      </c>
      <c r="B2" s="2">
        <f>Calculate!R3</f>
        <v>0.004220865438</v>
      </c>
      <c r="C2" s="2">
        <f>Calculate!S3</f>
        <v>7.152830955</v>
      </c>
      <c r="D2" s="2">
        <f>Calculate!T3</f>
        <v>0.02943531383</v>
      </c>
      <c r="E2" s="2">
        <f>Calculate!Q6</f>
        <v>177094.1187</v>
      </c>
      <c r="F2" s="2">
        <f>Calculate!R6</f>
        <v>403590561.6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85.05722345</v>
      </c>
      <c r="R3" s="1">
        <f>I40</f>
        <v>0.004220865438</v>
      </c>
      <c r="S3" s="1">
        <f>I43</f>
        <v>7.152830955</v>
      </c>
      <c r="T3" s="1">
        <f>I42</f>
        <v>0.02943531383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32.7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177094.1187</v>
      </c>
      <c r="R6" s="1">
        <f>D41</f>
        <v>403590561.6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406.8</v>
      </c>
      <c r="E12" s="3"/>
      <c r="F12" s="3"/>
      <c r="G12" s="3"/>
      <c r="H12" s="3"/>
      <c r="I12" s="13"/>
      <c r="J12" s="13" t="s">
        <v>15</v>
      </c>
      <c r="K12" s="3"/>
      <c r="L12" s="13">
        <f>203-32.7*2-34.93</f>
        <v>102.67</v>
      </c>
      <c r="M12" s="14">
        <f t="shared" ref="M12:M15" si="3">L12-VLOOKUP($D$22, $G$3:$K$8, 4, FALSE)</f>
        <v>86.795</v>
      </c>
      <c r="N12" s="3">
        <f t="shared" ref="N12:N15" si="4">M12^2</f>
        <v>7533.372025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203-40*2-34.93</f>
        <v>88.07</v>
      </c>
      <c r="M13" s="14">
        <f t="shared" si="3"/>
        <v>72.195</v>
      </c>
      <c r="N13" s="3">
        <f t="shared" si="4"/>
        <v>5212.118025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66.675</v>
      </c>
      <c r="E14" s="3"/>
      <c r="F14" s="3"/>
      <c r="G14" s="3"/>
      <c r="H14" s="3"/>
      <c r="K14" s="3"/>
      <c r="L14" s="13">
        <f>203-32.7*2-34.93</f>
        <v>102.67</v>
      </c>
      <c r="M14" s="14">
        <f t="shared" si="3"/>
        <v>86.795</v>
      </c>
      <c r="N14" s="3">
        <f t="shared" si="4"/>
        <v>7533.372025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113.475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203-40*2-34.93</f>
        <v>88.07</v>
      </c>
      <c r="M15" s="14">
        <f t="shared" si="3"/>
        <v>72.195</v>
      </c>
      <c r="N15" s="3">
        <f t="shared" si="4"/>
        <v>5212.118025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128.075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14533.31063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16" t="s">
        <v>51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52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53</v>
      </c>
      <c r="E21" s="3"/>
      <c r="F21" s="3"/>
      <c r="G21" s="3" t="s">
        <v>54</v>
      </c>
      <c r="I21" s="9">
        <v>69.6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55</v>
      </c>
      <c r="C22" s="12"/>
      <c r="D22" s="9" t="s">
        <v>18</v>
      </c>
      <c r="E22" s="3"/>
      <c r="F22" s="3"/>
      <c r="G22" s="3" t="s">
        <v>56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57</v>
      </c>
      <c r="D23" s="9">
        <v>4.0</v>
      </c>
      <c r="E23" s="3"/>
      <c r="F23" s="3"/>
      <c r="G23" s="3" t="s">
        <v>58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59</v>
      </c>
      <c r="C24" s="12"/>
      <c r="D24" s="9">
        <v>586.1</v>
      </c>
      <c r="E24" s="3"/>
      <c r="F24" s="3"/>
      <c r="G24" s="3" t="s">
        <v>60</v>
      </c>
      <c r="I24" s="3">
        <f>15000*SQRT(I21*100/9.8)*0.8*9.8/100</f>
        <v>31339.99362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61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62</v>
      </c>
      <c r="D26" s="3">
        <f>D25/D18</f>
        <v>0.05447694999</v>
      </c>
      <c r="E26" s="3"/>
      <c r="F26" s="3"/>
      <c r="G26" s="7" t="s">
        <v>63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64</v>
      </c>
      <c r="D27" s="3">
        <f>D25/D4/D5</f>
        <v>0.01921256124</v>
      </c>
      <c r="E27" s="3"/>
      <c r="F27" s="3"/>
      <c r="G27" s="3" t="s">
        <v>65</v>
      </c>
      <c r="I27" s="3">
        <f>(D18-SUM(N:N)/6)*(1-D14/2/D16)*(1-D14/2/D15)</f>
        <v>5372.662915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66</v>
      </c>
      <c r="I28" s="3">
        <f>I27/(1-D26)/D18</f>
        <v>0.3909785368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67</v>
      </c>
      <c r="I29" s="3">
        <f>(I11*VLOOKUP(J11, G3:K8, 5, FALSE) + I12*VLOOKUP(J12, G3:K8, 5, FALSE) + I13*VLOOKUP(J13, G3:K8, 5, FALSE))/D16/D10</f>
        <v>0.01460261079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68</v>
      </c>
      <c r="C30" s="3">
        <v>0.2</v>
      </c>
      <c r="D30" s="3"/>
      <c r="E30" s="3"/>
      <c r="F30" s="3"/>
      <c r="G30" s="3" t="s">
        <v>69</v>
      </c>
      <c r="I30" s="3">
        <f>(I16*VLOOKUP(J16, G3:K8, 5, FALSE) + I17*VLOOKUP(J17, G3:K8, 5, FALSE)+ I18*VLOOKUP(J18, G3:K8, 5, FALSE))/D15/D10</f>
        <v>0.01648142213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70</v>
      </c>
      <c r="E31" s="3"/>
      <c r="F31" s="3"/>
      <c r="G31" s="3" t="s">
        <v>71</v>
      </c>
      <c r="I31" s="3">
        <f>I29+I30</f>
        <v>0.03108403292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72</v>
      </c>
      <c r="D32" s="3">
        <f>I24/(2*(1+C30))</f>
        <v>13058.33067</v>
      </c>
      <c r="E32" s="3"/>
      <c r="F32" s="3"/>
      <c r="G32" s="3" t="s">
        <v>73</v>
      </c>
      <c r="I32" s="3">
        <f>I28*I29*$D$12</f>
        <v>2.32254625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74</v>
      </c>
      <c r="D33" s="3">
        <f>IF(I31*D12&gt;2.42, 2.42, I31*D12)</f>
        <v>2.42</v>
      </c>
      <c r="E33" s="3">
        <f>D12*I31</f>
        <v>12.64498459</v>
      </c>
      <c r="F33" s="3"/>
      <c r="G33" s="3" t="s">
        <v>75</v>
      </c>
      <c r="I33" s="3">
        <f>I28*I30*D12</f>
        <v>2.621371324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76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77</v>
      </c>
      <c r="I34" s="3">
        <f>(I32+I33)/2/I21</f>
        <v>0.03551664923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78</v>
      </c>
      <c r="D35" s="3">
        <f>0.0867*(D4*D5)*I21/13.8/(D4*D5)</f>
        <v>0.4372695652</v>
      </c>
      <c r="E35" s="3"/>
      <c r="F35" s="3"/>
      <c r="G35" s="3" t="s">
        <v>79</v>
      </c>
      <c r="I35" s="3">
        <f>MIN(I32, I33)/MAX(I32, I33)</f>
        <v>0.8860042944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80</v>
      </c>
      <c r="D36" s="3">
        <f>IF(1+D35&gt;1.5, 1.5, 1+D35)</f>
        <v>1.437269565</v>
      </c>
      <c r="E36" s="3">
        <f>1+D35</f>
        <v>1.437269565</v>
      </c>
      <c r="F36" s="3"/>
      <c r="G36" s="3" t="s">
        <v>81</v>
      </c>
      <c r="I36" s="3">
        <f>6.8886-(0.6069+17.275*I35)*EXP(1)^(-4.989*I35)</f>
        <v>6.69715652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82</v>
      </c>
      <c r="D37" s="3">
        <f>IF(D34*D36*SQRT(I21)&gt;0.33*SQRT(I21), 0.33*SQRT(I21), D34*D36*SQRT(I21))</f>
        <v>2.753078277</v>
      </c>
      <c r="E37" s="3"/>
      <c r="F37" s="3"/>
      <c r="G37" s="3" t="s">
        <v>83</v>
      </c>
      <c r="I37" s="3">
        <f>4.5/(5/I36*(0.9849-0.6306*EXP(1)^(-3.989*I35))-0.1)-5</f>
        <v>2.239682648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84</v>
      </c>
      <c r="D38" s="3">
        <f>0.8*D4*D5*D37</f>
        <v>90761.28218</v>
      </c>
      <c r="E38" s="3"/>
      <c r="F38" s="3"/>
      <c r="G38" s="3" t="s">
        <v>85</v>
      </c>
      <c r="I38" s="3">
        <f>1+I36*I34*(0.1+0.9/(1+I37*I34))</f>
        <v>1.222086544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86</v>
      </c>
      <c r="D39" s="3">
        <f>(I11*VLOOKUP(J11, G3:K8, 5, FALSE) + I12*VLOOKUP(J12, G3:K8, 5, FALSE) + I13*VLOOKUP(J13, G3:K8, 5, FALSE))*D12*D15/D10</f>
        <v>86332.8365</v>
      </c>
      <c r="E39" s="3"/>
      <c r="F39" s="3"/>
      <c r="G39" s="3" t="s">
        <v>0</v>
      </c>
      <c r="I39" s="3">
        <f>I21*I38</f>
        <v>85.05722345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177094.1187</v>
      </c>
      <c r="E40" s="3"/>
      <c r="F40" s="3"/>
      <c r="G40" s="3" t="s">
        <v>1</v>
      </c>
      <c r="I40" s="3">
        <f>I22*(1+5*(I39/I21-1))</f>
        <v>0.004220865438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403590561.6</v>
      </c>
      <c r="E41" s="3"/>
      <c r="F41" s="3"/>
      <c r="G41" s="3" t="s">
        <v>87</v>
      </c>
      <c r="I41" s="3">
        <f>I24/(I24-I39/I40)</f>
        <v>2.801118336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0.02943531383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7.152830955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