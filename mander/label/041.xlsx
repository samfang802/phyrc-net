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B0CF2666-6A95-4D2F-8460-1385011C4E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4tIP+f5WcpPUnmyJ9JrNV/lH0eHC9WJ5H1EsFOcogg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8" i="2"/>
  <c r="D17" i="2"/>
  <c r="D16" i="2"/>
  <c r="M15" i="2"/>
  <c r="N15" i="2" s="1"/>
  <c r="D15" i="2"/>
  <c r="M14" i="2"/>
  <c r="N14" i="2" s="1"/>
  <c r="D14" i="2"/>
  <c r="M13" i="2"/>
  <c r="N13" i="2" s="1"/>
  <c r="M12" i="2"/>
  <c r="N12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K5" i="2" s="1"/>
  <c r="K4" i="2"/>
  <c r="I4" i="2"/>
  <c r="J3" i="2"/>
  <c r="K3" i="2" s="1"/>
  <c r="I3" i="2"/>
  <c r="D25" i="2" l="1"/>
  <c r="I29" i="2"/>
  <c r="I31" i="2" s="1"/>
  <c r="D39" i="2"/>
  <c r="I30" i="2"/>
  <c r="I27" i="2"/>
  <c r="I42" i="2" l="1"/>
  <c r="T3" i="2" s="1"/>
  <c r="D2" i="1" s="1"/>
  <c r="E33" i="2"/>
  <c r="D33" i="2"/>
  <c r="D27" i="2"/>
  <c r="D26" i="2"/>
  <c r="I28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<sst xmlns="http://schemas.openxmlformats.org/spreadsheetml/2006/main" count="109" uniqueCount="86">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</sst>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438900" cy="33242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30.594826148683762</v>
      </c>
      <c r="B2" s="2">
        <f>Calculate!R3</f>
        <v>7.4519323983251321E-3</v>
      </c>
      <c r="C2" s="2">
        <f>Calculate!S3</f>
        <v>19.792934945871728</v>
      </c>
      <c r="D2" s="2">
        <f>Calculate!T3</f>
        <v>6.3698193732987865E-2</v>
      </c>
      <c r="E2" s="2">
        <f>Calculate!Q6</f>
        <v>96919.232465943031</v>
      </c>
      <c r="F2" s="2">
        <f>Calculate!R6</f>
        <v>133726311.54712975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30.594826148683762</v>
      </c>
      <c r="R3" s="1">
        <f>I40</f>
        <v>7.4519323983251321E-3</v>
      </c>
      <c r="S3" s="1">
        <f>I43</f>
        <v>19.792934945871728</v>
      </c>
      <c r="T3" s="1">
        <f>I42</f>
        <v>6.3698193732987865E-2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96919.232465943031</v>
      </c>
      <c r="R6" s="1">
        <f>D41</f>
        <v>133726311.54712975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2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30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39.269908169872416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19.8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16715.788943391217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7354.9230023422087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0.45039459165661921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6964.9120597463407</v>
      </c>
      <c r="E32" s="3"/>
      <c r="F32" s="3"/>
      <c r="G32" s="15" t="s">
        <v>71</v>
      </c>
      <c r="H32" s="16"/>
      <c r="I32" s="3">
        <f>I28*I29*$D$12</f>
        <v>1.9013475823654817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1.9013475823654817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9.6027655675024332E-2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0.12439565217391303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1.1243956521739131</v>
      </c>
      <c r="E36" s="3">
        <f>1+D35</f>
        <v>1.1243956521739131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1.2488099022620758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25575.626798327314</v>
      </c>
      <c r="E38" s="3"/>
      <c r="F38" s="3"/>
      <c r="G38" s="15" t="s">
        <v>83</v>
      </c>
      <c r="H38" s="16"/>
      <c r="I38" s="3">
        <f>1+I36*I34*(0.1+0.9/(1+I37*I34))</f>
        <v>1.5451932398325132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30.594826148683762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96919.232465943031</v>
      </c>
      <c r="E40" s="3"/>
      <c r="F40" s="3"/>
      <c r="G40" s="15" t="s">
        <v>1</v>
      </c>
      <c r="H40" s="16"/>
      <c r="I40" s="3">
        <f>I22*(1+5*(I39/I21-1))</f>
        <v>7.4519323983251321E-3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133726311.54712975</v>
      </c>
      <c r="E41" s="3"/>
      <c r="F41" s="3"/>
      <c r="G41" s="15" t="s">
        <v>85</v>
      </c>
      <c r="H41" s="16"/>
      <c r="I41" s="3">
        <f>I24/(I24-I39/I40)</f>
        <v>1.3255804256696875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6.3698193732987865E-2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19.792934945871728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2024-05-16T11:10:16Z</dcterms:modified>
</cp:coreProperties>
</file>