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pTgw1AqA3i9bP2v4s9Gz5Lw1mDrv2OCbth8lQ+QhuP8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<sst xmlns="http://schemas.openxmlformats.org/spreadsheetml/2006/main" count="104" uniqueCount="85">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</sst>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609600</xdr:colOff>
      <xdr:row>17</xdr:row>
      <xdr:rowOff>104775</xdr:rowOff>
    </xdr:from>
    <xdr:ext cx="1762125" cy="21431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58.97746695</v>
      </c>
      <c r="B2" s="2">
        <f>Calculate!R3</f>
        <v>0.006042254036</v>
      </c>
      <c r="C2" s="2">
        <f>Calculate!S3</f>
        <v>31.74292371</v>
      </c>
      <c r="D2" s="2">
        <f>Calculate!T3</f>
        <v>0.03072957285</v>
      </c>
      <c r="E2" s="2">
        <f>Calculate!Q6</f>
        <v>787099.102</v>
      </c>
      <c r="F2" s="2">
        <f>Calculate!R6</f>
        <v>1217275647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58.97746695</v>
      </c>
      <c r="R3" s="1">
        <f>I40</f>
        <v>0.006042254036</v>
      </c>
      <c r="S3" s="1">
        <f>I43</f>
        <v>31.74292371</v>
      </c>
      <c r="T3" s="1">
        <f>I42</f>
        <v>0.03072957285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>
        <v>12.0</v>
      </c>
      <c r="H4" s="11">
        <v>12.0</v>
      </c>
      <c r="I4" s="6">
        <f>J4/25.4</f>
        <v>0.4724409449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9">
        <v>400.0</v>
      </c>
      <c r="E5" s="3"/>
      <c r="F5" s="3"/>
      <c r="G5" s="8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9">
        <v>13.0</v>
      </c>
      <c r="E6" s="3"/>
      <c r="F6" s="3"/>
      <c r="G6" s="8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787099.102</v>
      </c>
      <c r="R6" s="1">
        <f>D41</f>
        <v>1217275647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9">
        <v>13.0</v>
      </c>
      <c r="E7" s="3"/>
      <c r="F7" s="3"/>
      <c r="G7" s="8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96.0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>
        <v>12.0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308.0</v>
      </c>
      <c r="E12" s="3"/>
      <c r="F12" s="3"/>
      <c r="G12" s="3"/>
      <c r="H12" s="3"/>
      <c r="I12" s="9">
        <v>4.0</v>
      </c>
      <c r="J12" s="9">
        <v>12.0</v>
      </c>
      <c r="K12" s="3"/>
      <c r="L12" s="9">
        <v>111.3</v>
      </c>
      <c r="M12" s="16">
        <f t="shared" ref="M12:M23" si="3">L12-VLOOKUP($D$22, $G$3:$K$8, 4, FALSE)</f>
        <v>95.425</v>
      </c>
      <c r="N12" s="3">
        <f t="shared" ref="N12:N23" si="4">M12^2</f>
        <v>9105.930625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16</v>
      </c>
      <c r="K13" s="3"/>
      <c r="L13" s="9">
        <v>111.3</v>
      </c>
      <c r="M13" s="16">
        <f t="shared" si="3"/>
        <v>95.425</v>
      </c>
      <c r="N13" s="3">
        <f t="shared" si="4"/>
        <v>9105.930625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72</v>
      </c>
      <c r="E14" s="3"/>
      <c r="F14" s="3"/>
      <c r="G14" s="3"/>
      <c r="H14" s="3"/>
      <c r="K14" s="3"/>
      <c r="L14" s="9">
        <v>111.3</v>
      </c>
      <c r="M14" s="16">
        <f t="shared" si="3"/>
        <v>95.425</v>
      </c>
      <c r="N14" s="3">
        <f t="shared" si="4"/>
        <v>9105.930625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362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9">
        <v>111.3</v>
      </c>
      <c r="M15" s="16">
        <f t="shared" si="3"/>
        <v>95.425</v>
      </c>
      <c r="N15" s="3">
        <f t="shared" si="4"/>
        <v>9105.930625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362</v>
      </c>
      <c r="E16" s="3"/>
      <c r="F16" s="3"/>
      <c r="G16" s="3"/>
      <c r="H16" s="3"/>
      <c r="I16" s="15"/>
      <c r="J16" s="15" t="s">
        <v>12</v>
      </c>
      <c r="K16" s="3"/>
      <c r="L16" s="9">
        <v>111.3</v>
      </c>
      <c r="M16" s="16">
        <f t="shared" si="3"/>
        <v>95.425</v>
      </c>
      <c r="N16" s="3">
        <f t="shared" si="4"/>
        <v>9105.930625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>
        <v>12.0</v>
      </c>
      <c r="K17" s="3"/>
      <c r="L17" s="9">
        <v>111.3</v>
      </c>
      <c r="M17" s="16">
        <f t="shared" si="3"/>
        <v>95.425</v>
      </c>
      <c r="N17" s="3">
        <f t="shared" si="4"/>
        <v>9105.930625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131044</v>
      </c>
      <c r="E18" s="3"/>
      <c r="F18" s="3"/>
      <c r="G18" s="3"/>
      <c r="H18" s="3"/>
      <c r="I18" s="15"/>
      <c r="J18" s="15" t="s">
        <v>16</v>
      </c>
      <c r="K18" s="3"/>
      <c r="L18" s="9">
        <v>111.3</v>
      </c>
      <c r="M18" s="16">
        <f t="shared" si="3"/>
        <v>95.425</v>
      </c>
      <c r="N18" s="3">
        <f t="shared" si="4"/>
        <v>9105.930625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111.3</v>
      </c>
      <c r="M19" s="16">
        <f t="shared" si="3"/>
        <v>95.425</v>
      </c>
      <c r="N19" s="3">
        <f t="shared" si="4"/>
        <v>9105.930625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9">
        <v>111.3</v>
      </c>
      <c r="M20" s="16">
        <f t="shared" si="3"/>
        <v>95.425</v>
      </c>
      <c r="N20" s="3">
        <f t="shared" si="4"/>
        <v>9105.930625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42.0</v>
      </c>
      <c r="J21" s="3"/>
      <c r="K21" s="3"/>
      <c r="L21" s="9">
        <v>111.3</v>
      </c>
      <c r="M21" s="16">
        <f t="shared" si="3"/>
        <v>95.425</v>
      </c>
      <c r="N21" s="3">
        <f t="shared" si="4"/>
        <v>9105.930625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16</v>
      </c>
      <c r="E22" s="3"/>
      <c r="F22" s="3"/>
      <c r="G22" s="3" t="s">
        <v>53</v>
      </c>
      <c r="I22" s="3">
        <v>0.002</v>
      </c>
      <c r="J22" s="3"/>
      <c r="K22" s="3"/>
      <c r="L22" s="9">
        <v>111.3</v>
      </c>
      <c r="M22" s="16">
        <f t="shared" si="3"/>
        <v>95.425</v>
      </c>
      <c r="N22" s="3">
        <f t="shared" si="4"/>
        <v>9105.930625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12.0</v>
      </c>
      <c r="E23" s="3"/>
      <c r="F23" s="3"/>
      <c r="G23" s="3" t="s">
        <v>55</v>
      </c>
      <c r="I23" s="3">
        <v>0.005</v>
      </c>
      <c r="J23" s="3"/>
      <c r="K23" s="3"/>
      <c r="L23" s="9">
        <v>111.3</v>
      </c>
      <c r="M23" s="16">
        <f t="shared" si="3"/>
        <v>95.425</v>
      </c>
      <c r="N23" s="3">
        <f t="shared" si="4"/>
        <v>9105.930625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474.0</v>
      </c>
      <c r="E24" s="3"/>
      <c r="F24" s="3"/>
      <c r="G24" s="3" t="s">
        <v>57</v>
      </c>
      <c r="I24" s="3">
        <f>15000*SQRT(I21*100/9.8)*0.8*9.8/100</f>
        <v>24345.51293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2375.191308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0.01812514353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0.01484494568</v>
      </c>
      <c r="E27" s="3"/>
      <c r="F27" s="3"/>
      <c r="G27" s="3" t="s">
        <v>62</v>
      </c>
      <c r="I27" s="3">
        <f>(D18-SUM(N:N)/6)*(1-D14/2/D16)*(1-D14/2/D15)</f>
        <v>91506.27559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0.7111768308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0.01301764912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0.01301764912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0.02603529823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10143.96372</v>
      </c>
      <c r="E32" s="3"/>
      <c r="F32" s="3"/>
      <c r="G32" s="3" t="s">
        <v>70</v>
      </c>
      <c r="I32" s="3">
        <f>I28*I29*$D$12</f>
        <v>2.851417937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8.018871856</v>
      </c>
      <c r="F33" s="3"/>
      <c r="G33" s="3" t="s">
        <v>72</v>
      </c>
      <c r="I33" s="3">
        <f>I28*I30*D12</f>
        <v>2.851417937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0.06789090325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0.2638695652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1.263869565</v>
      </c>
      <c r="E36" s="3">
        <f>1+D35</f>
        <v>1.263869565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2.044426408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261686.5802</v>
      </c>
      <c r="E38" s="3"/>
      <c r="F38" s="3"/>
      <c r="G38" s="3" t="s">
        <v>82</v>
      </c>
      <c r="I38" s="3">
        <f>1+I36*I34*(0.1+0.9/(1+I37*I34))</f>
        <v>1.404225404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525412.5218</v>
      </c>
      <c r="E39" s="3"/>
      <c r="F39" s="3"/>
      <c r="G39" s="3" t="s">
        <v>0</v>
      </c>
      <c r="I39" s="3">
        <f>I21*I38</f>
        <v>58.97746695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787099.102</v>
      </c>
      <c r="E40" s="3"/>
      <c r="F40" s="3"/>
      <c r="G40" s="3" t="s">
        <v>1</v>
      </c>
      <c r="I40" s="3">
        <f>I22*(1+5*(I39/I21-1))</f>
        <v>0.006042254036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1217275647</v>
      </c>
      <c r="E41" s="3"/>
      <c r="F41" s="3"/>
      <c r="G41" s="3" t="s">
        <v>84</v>
      </c>
      <c r="I41" s="3">
        <f>I24/(I24-I39/I40)</f>
        <v>1.669253116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0.03072957285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31.74292371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