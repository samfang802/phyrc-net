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VlPj7qXsrKXiLq0L9vs76hhCHINsHhj2tk6CAP53FM0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<sst xmlns="http://schemas.openxmlformats.org/spreadsheetml/2006/main" count="109" uniqueCount="86">
  <si>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</si>
  <si>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</si>
  <si>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</si>
  <si>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</si>
  <si>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</si>
  <si>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</si>
  <si>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</si>
  <si>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</si>
  <si>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</si>
  <si>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</si>
  <si>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</si>
  <si>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</si>
  <si>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</si>
  <si>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</si>
  <si>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</si>
  <si>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5.5mm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</si>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</sst>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2286000" cy="24574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29.20404649</v>
      </c>
      <c r="B2" s="2">
        <f>Calculate!R3</f>
        <v>0.006176721596</v>
      </c>
      <c r="C2" s="2">
        <f>Calculate!S3</f>
        <v>18.55428969</v>
      </c>
      <c r="D2" s="2">
        <f>Calculate!T3</f>
        <v>0.04399456767</v>
      </c>
      <c r="E2" s="2">
        <f>Calculate!Q6</f>
        <v>298508.5809</v>
      </c>
      <c r="F2" s="2">
        <f>Calculate!R6</f>
        <v>333010504.5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>I3*25.4</f>
        <v>9.525</v>
      </c>
      <c r="K3" s="1">
        <f t="shared" ref="K3:K8" si="1">PI()*J3^2/4</f>
        <v>71.25573925</v>
      </c>
      <c r="L3" s="3"/>
      <c r="M3" s="3"/>
      <c r="N3" s="3"/>
      <c r="O3" s="3"/>
      <c r="P3" s="3"/>
      <c r="Q3" s="1">
        <f>I39</f>
        <v>29.20404649</v>
      </c>
      <c r="R3" s="1">
        <f>I40</f>
        <v>0.006176721596</v>
      </c>
      <c r="S3" s="1">
        <f>I43</f>
        <v>18.55428969</v>
      </c>
      <c r="T3" s="1">
        <f>I42</f>
        <v>0.04399456767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250.0</v>
      </c>
      <c r="E4" s="3"/>
      <c r="F4" s="3"/>
      <c r="G4" s="10" t="s">
        <v>15</v>
      </c>
      <c r="H4" s="11" t="s">
        <v>15</v>
      </c>
      <c r="I4" s="6">
        <f>5.5/25.4</f>
        <v>0.2165354331</v>
      </c>
      <c r="J4" s="11">
        <v>5.5</v>
      </c>
      <c r="K4" s="1">
        <f t="shared" si="1"/>
        <v>23.75829444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9">
        <v>250.0</v>
      </c>
      <c r="E5" s="3"/>
      <c r="F5" s="3"/>
      <c r="G5" s="8" t="s">
        <v>17</v>
      </c>
      <c r="H5" s="6" t="s">
        <v>18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9">
        <v>0.0</v>
      </c>
      <c r="E6" s="3"/>
      <c r="F6" s="3"/>
      <c r="G6" s="8" t="s">
        <v>20</v>
      </c>
      <c r="H6" s="6" t="s">
        <v>21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298508.5809</v>
      </c>
      <c r="R6" s="1">
        <f>D41</f>
        <v>333010504.5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9">
        <v>0.0</v>
      </c>
      <c r="E7" s="3"/>
      <c r="F7" s="3"/>
      <c r="G7" s="8" t="s">
        <v>23</v>
      </c>
      <c r="H7" s="6" t="s">
        <v>24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9">
        <v>32.0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9" t="s">
        <v>15</v>
      </c>
      <c r="E11" s="3"/>
      <c r="F11" s="3"/>
      <c r="G11" s="3"/>
      <c r="H11" s="3"/>
      <c r="I11" s="15"/>
      <c r="J11" s="15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9">
        <v>323.0</v>
      </c>
      <c r="E12" s="3"/>
      <c r="F12" s="3"/>
      <c r="G12" s="3"/>
      <c r="H12" s="3"/>
      <c r="I12" s="9">
        <v>4.0</v>
      </c>
      <c r="J12" s="9" t="s">
        <v>15</v>
      </c>
      <c r="K12" s="3"/>
      <c r="L12" s="15">
        <f>229.5</f>
        <v>229.5</v>
      </c>
      <c r="M12" s="16">
        <f t="shared" ref="M12:M17" si="3">L12-VLOOKUP($D$22, $G$3:$K$8, 4, FALSE)</f>
        <v>219.975</v>
      </c>
      <c r="N12" s="3">
        <f t="shared" ref="N12:N17" si="4">M12^2</f>
        <v>48389.00063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9">
        <v>1.0</v>
      </c>
      <c r="E13" s="3"/>
      <c r="F13" s="3"/>
      <c r="G13" s="3"/>
      <c r="H13" s="3"/>
      <c r="I13" s="15"/>
      <c r="J13" s="15" t="s">
        <v>17</v>
      </c>
      <c r="K13" s="3"/>
      <c r="L13" s="15">
        <f t="shared" ref="L13:L14" si="5">229.5/2</f>
        <v>114.75</v>
      </c>
      <c r="M13" s="16">
        <f t="shared" si="3"/>
        <v>105.225</v>
      </c>
      <c r="N13" s="3">
        <f t="shared" si="4"/>
        <v>11072.30063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26.5</v>
      </c>
      <c r="E14" s="3"/>
      <c r="F14" s="3"/>
      <c r="G14" s="3"/>
      <c r="H14" s="3"/>
      <c r="K14" s="3"/>
      <c r="L14" s="15">
        <f t="shared" si="5"/>
        <v>114.75</v>
      </c>
      <c r="M14" s="16">
        <f t="shared" si="3"/>
        <v>105.225</v>
      </c>
      <c r="N14" s="3">
        <f t="shared" si="4"/>
        <v>11072.30063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7">
        <f>D4-2*D7-VLOOKUP(D11, G3:K8, 4,FALSE )</f>
        <v>244.5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5">
        <f>229.5</f>
        <v>229.5</v>
      </c>
      <c r="M15" s="16">
        <f t="shared" si="3"/>
        <v>219.975</v>
      </c>
      <c r="N15" s="3">
        <f t="shared" si="4"/>
        <v>48389.00063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7">
        <f>D5-2*D6-VLOOKUP(D11, G3:K8, 4,FALSE )</f>
        <v>244.5</v>
      </c>
      <c r="E16" s="3"/>
      <c r="F16" s="3"/>
      <c r="G16" s="3"/>
      <c r="H16" s="3"/>
      <c r="I16" s="15"/>
      <c r="J16" s="15" t="s">
        <v>12</v>
      </c>
      <c r="K16" s="3"/>
      <c r="L16" s="15">
        <f t="shared" ref="L16:L17" si="6">229.5/2</f>
        <v>114.75</v>
      </c>
      <c r="M16" s="16">
        <f t="shared" si="3"/>
        <v>105.225</v>
      </c>
      <c r="N16" s="3">
        <f t="shared" si="4"/>
        <v>11072.30063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23.75829444</v>
      </c>
      <c r="E17" s="3"/>
      <c r="F17" s="3"/>
      <c r="G17" s="3"/>
      <c r="H17" s="3"/>
      <c r="I17" s="9">
        <v>2.0</v>
      </c>
      <c r="J17" s="9" t="s">
        <v>15</v>
      </c>
      <c r="K17" s="3"/>
      <c r="L17" s="15">
        <f t="shared" si="6"/>
        <v>114.75</v>
      </c>
      <c r="M17" s="16">
        <f t="shared" si="3"/>
        <v>105.225</v>
      </c>
      <c r="N17" s="3">
        <f t="shared" si="4"/>
        <v>11072.30063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59780.25</v>
      </c>
      <c r="E18" s="3"/>
      <c r="F18" s="3"/>
      <c r="G18" s="3"/>
      <c r="H18" s="3"/>
      <c r="I18" s="15"/>
      <c r="J18" s="15" t="s">
        <v>17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9">
        <v>20.6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9" t="s">
        <v>12</v>
      </c>
      <c r="E22" s="3"/>
      <c r="F22" s="3"/>
      <c r="G22" s="3" t="s">
        <v>54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9">
        <v>6.0</v>
      </c>
      <c r="E23" s="3"/>
      <c r="F23" s="3"/>
      <c r="G23" s="3" t="s">
        <v>56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9">
        <v>392.8</v>
      </c>
      <c r="E24" s="3"/>
      <c r="F24" s="3"/>
      <c r="G24" s="3" t="s">
        <v>58</v>
      </c>
      <c r="I24" s="3">
        <f>15000*SQRT(I21*100/9.8)*0.8*9.8/100</f>
        <v>17050.13783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427.5344355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0.007151767272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0.006840550968</v>
      </c>
      <c r="E27" s="3"/>
      <c r="F27" s="3"/>
      <c r="G27" s="3" t="s">
        <v>63</v>
      </c>
      <c r="I27" s="3">
        <f>(D18-SUM(N:N)/6)*(1-D14/2/D16)*(1-D14/2/D15)</f>
        <v>32444.56297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0.546639908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0.0121463673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0.006073183651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0.01821955095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7104.224096</v>
      </c>
      <c r="E32" s="3"/>
      <c r="F32" s="3"/>
      <c r="G32" s="3" t="s">
        <v>71</v>
      </c>
      <c r="I32" s="3">
        <f>I28*I29*$D$12</f>
        <v>2.144619581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5.884914958</v>
      </c>
      <c r="F33" s="3"/>
      <c r="G33" s="3" t="s">
        <v>73</v>
      </c>
      <c r="I33" s="3">
        <f>I28*I30*D12</f>
        <v>1.07230979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0.07808080997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0.1294217391</v>
      </c>
      <c r="E35" s="3"/>
      <c r="F35" s="3"/>
      <c r="G35" s="3" t="s">
        <v>77</v>
      </c>
      <c r="I35" s="3">
        <f>MIN(I32, I33)/MAX(I32, I33)</f>
        <v>0.5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1.129421739</v>
      </c>
      <c r="E36" s="3">
        <f>1+D35</f>
        <v>1.129421739</v>
      </c>
      <c r="F36" s="3"/>
      <c r="G36" s="3" t="s">
        <v>79</v>
      </c>
      <c r="I36" s="3">
        <f>6.8886-(0.6069+17.275*I35)*EXP(1)^(-4.989*I35)</f>
        <v>6.125588394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1.279482452</v>
      </c>
      <c r="E37" s="3"/>
      <c r="F37" s="3"/>
      <c r="G37" s="3" t="s">
        <v>81</v>
      </c>
      <c r="I37" s="3">
        <f>4.5/(5/I36*(0.9849-0.6306*EXP(1)^(-3.989*I35))-0.1)-5</f>
        <v>2.099158047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63974.12261</v>
      </c>
      <c r="E38" s="3"/>
      <c r="F38" s="3"/>
      <c r="G38" s="3" t="s">
        <v>83</v>
      </c>
      <c r="I38" s="3">
        <f>1+I36*I34*(0.1+0.9/(1+I37*I34))</f>
        <v>1.41767216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234534.4583</v>
      </c>
      <c r="E39" s="3"/>
      <c r="F39" s="3"/>
      <c r="G39" s="3" t="s">
        <v>0</v>
      </c>
      <c r="I39" s="3">
        <f>I21*I38</f>
        <v>29.20404649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298508.5809</v>
      </c>
      <c r="E40" s="3"/>
      <c r="F40" s="3"/>
      <c r="G40" s="3" t="s">
        <v>1</v>
      </c>
      <c r="I40" s="3">
        <f>I22*(1+5*(I39/I21-1))</f>
        <v>0.006176721596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333010504.5</v>
      </c>
      <c r="E41" s="3"/>
      <c r="F41" s="3"/>
      <c r="G41" s="3" t="s">
        <v>85</v>
      </c>
      <c r="I41" s="3">
        <f>I24/(I24-I39/I40)</f>
        <v>1.383708866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0.04399456767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18.55428969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