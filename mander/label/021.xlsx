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wKJ9sb813suQbq7uXT7reFo3cLBt8Mys8CZAnrseDjg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<sst xmlns="http://schemas.openxmlformats.org/spreadsheetml/2006/main" count="109" uniqueCount="87">
  <si>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</si>
  <si>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</si>
  <si>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</si>
  <si>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</si>
  <si>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</si>
  <si>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</si>
  <si>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</si>
  <si>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</si>
  <si>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</si>
  <si>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</si>
  <si>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</si>
  <si>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</si>
  <si>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</si>
  <si>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</si>
  <si>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</si>
  <si>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</si>
  <si>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</si>
  <si>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</si>
  <si>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</si>
  <si>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</si>
  <si>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</si>
  <si>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20mm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</si>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</sst>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6838950" cy="65627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46.28247114</v>
      </c>
      <c r="B2" s="2">
        <f>Calculate!R3</f>
        <v>0.01007909029</v>
      </c>
      <c r="C2" s="2">
        <f>Calculate!S3</f>
        <v>32.00689929</v>
      </c>
      <c r="D2" s="2">
        <f>Calculate!T3</f>
        <v>0.07087040613</v>
      </c>
      <c r="E2" s="2">
        <f>Calculate!Q6</f>
        <v>767634.1907</v>
      </c>
      <c r="F2" s="2">
        <f>Calculate!R6</f>
        <v>950351513.9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46.28247114</v>
      </c>
      <c r="R3" s="1">
        <f>I40</f>
        <v>0.01007909029</v>
      </c>
      <c r="S3" s="1">
        <f>I43</f>
        <v>32.00689929</v>
      </c>
      <c r="T3" s="1">
        <f>I42</f>
        <v>0.07087040613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400.0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10" t="s">
        <v>21</v>
      </c>
      <c r="H6" s="6" t="s">
        <v>22</v>
      </c>
      <c r="I6" s="6">
        <f>6/8</f>
        <v>0.75</v>
      </c>
      <c r="J6" s="11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767634.1907</v>
      </c>
      <c r="R6" s="1">
        <f>D41</f>
        <v>950351513.9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80.0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333.0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19" si="3">276/2</f>
        <v>138</v>
      </c>
      <c r="M12" s="16">
        <f t="shared" ref="M12:M19" si="4">L12-VLOOKUP($D$22, $G$3:$K$8, 4, FALSE)</f>
        <v>118</v>
      </c>
      <c r="N12" s="3">
        <f t="shared" ref="N12:N19" si="5">M12^2</f>
        <v>13924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138</v>
      </c>
      <c r="M13" s="16">
        <f t="shared" si="4"/>
        <v>118</v>
      </c>
      <c r="N13" s="3">
        <f t="shared" si="5"/>
        <v>13924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68</v>
      </c>
      <c r="E14" s="3"/>
      <c r="F14" s="3"/>
      <c r="G14" s="3"/>
      <c r="H14" s="3"/>
      <c r="K14" s="3"/>
      <c r="L14" s="15">
        <f t="shared" si="3"/>
        <v>138</v>
      </c>
      <c r="M14" s="16">
        <f t="shared" si="4"/>
        <v>118</v>
      </c>
      <c r="N14" s="3">
        <f t="shared" si="5"/>
        <v>13924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308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138</v>
      </c>
      <c r="M15" s="16">
        <f t="shared" si="4"/>
        <v>118</v>
      </c>
      <c r="N15" s="3">
        <f t="shared" si="5"/>
        <v>13924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308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138</v>
      </c>
      <c r="M16" s="16">
        <f t="shared" si="4"/>
        <v>118</v>
      </c>
      <c r="N16" s="3">
        <f t="shared" si="5"/>
        <v>13924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113.0973355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138</v>
      </c>
      <c r="M17" s="16">
        <f t="shared" si="4"/>
        <v>118</v>
      </c>
      <c r="N17" s="3">
        <f t="shared" si="5"/>
        <v>13924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94864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138</v>
      </c>
      <c r="M18" s="16">
        <f t="shared" si="4"/>
        <v>118</v>
      </c>
      <c r="N18" s="3">
        <f t="shared" si="5"/>
        <v>13924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138</v>
      </c>
      <c r="M19" s="16">
        <f t="shared" si="4"/>
        <v>118</v>
      </c>
      <c r="N19" s="3">
        <f t="shared" si="5"/>
        <v>13924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25.6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474.0</v>
      </c>
      <c r="E24" s="3"/>
      <c r="F24" s="3"/>
      <c r="G24" s="3" t="s">
        <v>59</v>
      </c>
      <c r="I24" s="3">
        <f>15000*SQRT(I21*100/9.8)*0.8*9.8/100</f>
        <v>19007.03028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2513.274123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0.02649344454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0.01570796327</v>
      </c>
      <c r="E27" s="3"/>
      <c r="F27" s="3"/>
      <c r="G27" s="3" t="s">
        <v>64</v>
      </c>
      <c r="I27" s="3">
        <f>(D18-SUM(N:N)/6)*(1-D14/2/D16)*(1-D14/2/D15)</f>
        <v>60383.27183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0.6538472898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7919.595949</v>
      </c>
      <c r="E32" s="3"/>
      <c r="F32" s="3"/>
      <c r="G32" s="3" t="s">
        <v>72</v>
      </c>
      <c r="I32" s="3">
        <f>I28*I29*$D$12</f>
        <v>3.99753452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12.22773141</v>
      </c>
      <c r="F33" s="3"/>
      <c r="G33" s="3" t="s">
        <v>74</v>
      </c>
      <c r="I33" s="3">
        <f>I28*I30*D12</f>
        <v>3.99753452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0.1561536922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0.1608347826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1.160834783</v>
      </c>
      <c r="E36" s="3">
        <f>1+D35</f>
        <v>1.160834783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1.466003396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187648.4346</v>
      </c>
      <c r="E38" s="3"/>
      <c r="F38" s="3"/>
      <c r="G38" s="3" t="s">
        <v>84</v>
      </c>
      <c r="I38" s="3">
        <f>1+I36*I34*(0.1+0.9/(1+I37*I34))</f>
        <v>1.807909029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579985.7561</v>
      </c>
      <c r="E39" s="3"/>
      <c r="F39" s="3"/>
      <c r="G39" s="3" t="s">
        <v>0</v>
      </c>
      <c r="I39" s="3">
        <f>I21*I38</f>
        <v>46.28247114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767634.1907</v>
      </c>
      <c r="E40" s="3"/>
      <c r="F40" s="3"/>
      <c r="G40" s="3" t="s">
        <v>1</v>
      </c>
      <c r="I40" s="3">
        <f>I22*(1+5*(I39/I21-1))</f>
        <v>0.01007909029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950351513.9</v>
      </c>
      <c r="E41" s="3"/>
      <c r="F41" s="3"/>
      <c r="G41" s="3" t="s">
        <v>86</v>
      </c>
      <c r="I41" s="3">
        <f>I24/(I24-I39/I40)</f>
        <v>1.318549933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0.07087040613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32.00689929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